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a123/Downloads/"/>
    </mc:Choice>
  </mc:AlternateContent>
  <xr:revisionPtr revIDLastSave="0" documentId="13_ncr:1_{762A119F-80C2-0E49-8A4F-72E8303DA508}" xr6:coauthVersionLast="47" xr6:coauthVersionMax="47" xr10:uidLastSave="{00000000-0000-0000-0000-000000000000}"/>
  <bookViews>
    <workbookView xWindow="0" yWindow="500" windowWidth="38400" windowHeight="19400" activeTab="1" xr2:uid="{00000000-000D-0000-FFFF-FFFF00000000}"/>
  </bookViews>
  <sheets>
    <sheet name="README_测试说明" sheetId="1" r:id="rId1"/>
    <sheet name="财务复核" sheetId="2" r:id="rId2"/>
    <sheet name="注释与特殊字符" sheetId="3" r:id="rId3"/>
    <sheet name="空单元格与合并" sheetId="4" r:id="rId4"/>
    <sheet name="隐藏复核数据" sheetId="5" state="hidden" r:id="rId5"/>
    <sheet name="Sheet With Space" sheetId="6" r:id="rId6"/>
    <sheet name="批量批注" sheetId="7" r:id="rId7"/>
    <sheet name="无批注Sheet" sheetId="8" r:id="rId8"/>
    <sheet name="标准答案_勿用于抽取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9" l="1"/>
  <c r="F14" i="9"/>
  <c r="C7" i="6"/>
  <c r="C6" i="6"/>
  <c r="C5" i="6"/>
  <c r="C4" i="6"/>
  <c r="C3" i="6"/>
  <c r="C2" i="6"/>
  <c r="D6" i="4"/>
  <c r="C8" i="2"/>
  <c r="B8" i="2"/>
  <c r="D6" i="2"/>
  <c r="D5" i="2"/>
  <c r="D4" i="2"/>
  <c r="D8" i="2" s="1"/>
  <c r="D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财务复核-Alice</author>
    <author>经理-Bob</author>
    <author>tc={E4094D4E-AAB1-B84B-AC15-FC68F56E6A5A}</author>
    <author>tc={40811AF4-63FB-7B49-B2F0-81CB38560356}</author>
    <author>审计-Carol</author>
    <author>内部审计-David</author>
  </authors>
  <commentList>
    <comment ref="B3" authorId="0" shapeId="0" xr:uid="{00000000-0006-0000-0100-000001000000}">
      <text>
        <r>
          <rPr>
            <sz val="11"/>
            <color theme="1"/>
            <rFont val="宋体"/>
            <family val="2"/>
            <scheme val="minor"/>
          </rPr>
          <t>请确认设备预算是否包含税费。</t>
        </r>
      </text>
    </comment>
    <comment ref="C4" authorId="1" shapeId="0" xr:uid="{00000000-0006-0000-0100-000002000000}">
      <text>
        <r>
          <rPr>
            <sz val="11"/>
            <color theme="1"/>
            <rFont val="宋体"/>
            <family val="2"/>
            <scheme val="minor"/>
          </rPr>
          <t>实际金额高于预算，请说明新增费用构成。</t>
        </r>
      </text>
    </comment>
    <comment ref="D4" authorId="2" shapeId="0" xr:uid="{E4094D4E-AAB1-B84B-AC15-FC68F56E6A5A}">
      <text>
        <t>[线程批注]
你的Excel版本可读取此线程批注; 但如果在更新版本的Excel中打开文件，则对批注所作的任何改动都将被删除。了解详细信息: https://go.microsoft.com/fwlink/?linkid=870924
注释:
    通过测试批注来了解你是真的假的</t>
      </text>
    </comment>
    <comment ref="B5" authorId="3" shapeId="0" xr:uid="{40811AF4-63FB-7B49-B2F0-81CB38560356}">
      <text>
        <t>[线程批注]
你的Excel版本可读取此线程批注; 但如果在更新版本的Excel中打开文件，则对批注所作的任何改动都将被删除。了解详细信息: https://go.microsoft.com/fwlink/?linkid=870924
注释:
    批注测试</t>
      </text>
    </comment>
    <comment ref="H5" authorId="4" shapeId="0" xr:uid="{00000000-0006-0000-0100-000003000000}">
      <text>
        <r>
          <rPr>
            <sz val="11"/>
            <color theme="1"/>
            <rFont val="宋体"/>
            <family val="2"/>
            <scheme val="minor"/>
          </rPr>
          <t>此处为空说明，请补充咨询服务交付成果。</t>
        </r>
      </text>
    </comment>
    <comment ref="A6" authorId="5" shapeId="0" xr:uid="{00000000-0006-0000-0100-000004000000}">
      <text>
        <r>
          <rPr>
            <sz val="11"/>
            <color theme="1"/>
            <rFont val="宋体"/>
            <family val="2"/>
            <scheme val="minor"/>
          </rPr>
          <t>这是一个多行批注：
1. 核对差旅行程
2. 核对发票
3. 核对审批记录</t>
        </r>
      </text>
    </comment>
    <comment ref="G6" authorId="0" shapeId="0" xr:uid="{00000000-0006-0000-0100-000005000000}">
      <text>
        <r>
          <rPr>
            <sz val="11"/>
            <color theme="1"/>
            <rFont val="宋体"/>
            <family val="2"/>
            <scheme val="minor"/>
          </rPr>
          <t>日期请与报销单据日期核对。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Reviewer-1</author>
    <author>Reviewer-EN</author>
    <author>Reviewer-Symbol</author>
    <author>Reviewer-Unicode</author>
    <author>Reviewer-Long</author>
  </authors>
  <commentList>
    <comment ref="B2" authorId="0" shapeId="0" xr:uid="{00000000-0006-0000-0200-000001000000}">
      <text>
        <r>
          <rPr>
            <sz val="11"/>
            <color theme="1"/>
            <rFont val="宋体"/>
            <family val="2"/>
            <scheme val="minor"/>
          </rPr>
          <t>注释测试：请确认合同编号与原文件一致。</t>
        </r>
      </text>
    </comment>
    <comment ref="B3" authorId="1" shapeId="0" xr:uid="{00000000-0006-0000-0200-000002000000}">
      <text>
        <r>
          <rPr>
            <sz val="11"/>
            <color theme="1"/>
            <rFont val="宋体"/>
            <family val="2"/>
            <scheme val="minor"/>
          </rPr>
          <t>Please verify the English wording and capitalization.</t>
        </r>
      </text>
    </comment>
    <comment ref="B4" authorId="2" shapeId="0" xr:uid="{00000000-0006-0000-0200-000003000000}">
      <text>
        <r>
          <rPr>
            <sz val="11"/>
            <color theme="1"/>
            <rFont val="宋体"/>
            <family val="2"/>
            <scheme val="minor"/>
          </rPr>
          <t>特殊字符批注：人民币符号￥、竖线|、反斜杠\、引号"以及单引号'都应保留。</t>
        </r>
      </text>
    </comment>
    <comment ref="B5" authorId="3" shapeId="0" xr:uid="{00000000-0006-0000-0200-000004000000}">
      <text>
        <r>
          <rPr>
            <sz val="11"/>
            <color theme="1"/>
            <rFont val="宋体"/>
            <family val="2"/>
            <scheme val="minor"/>
          </rPr>
          <t>Emoji 批注：✅⚠️🧪 应正常保留。</t>
        </r>
      </text>
    </comment>
    <comment ref="B6" authorId="4" shapeId="0" xr:uid="{00000000-0006-0000-0200-000005000000}">
      <text>
        <r>
          <rPr>
            <sz val="11"/>
            <color theme="1"/>
            <rFont val="宋体"/>
            <family val="2"/>
            <scheme val="minor"/>
          </rPr>
          <t>长批注开始：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长批注结束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Reviewer-Blank</author>
    <author>Reviewer-Merge</author>
    <author>Reviewer-Formula</author>
  </authors>
  <commentList>
    <comment ref="B2" authorId="0" shapeId="0" xr:uid="{00000000-0006-0000-0300-000001000000}">
      <text>
        <r>
          <rPr>
            <sz val="11"/>
            <color theme="1"/>
            <rFont val="宋体"/>
            <family val="2"/>
            <scheme val="minor"/>
          </rPr>
          <t>这个单元格没有值，但存在批注，必须被提取。</t>
        </r>
      </text>
    </comment>
    <comment ref="B4" authorId="1" shapeId="0" xr:uid="{00000000-0006-0000-0300-000002000000}">
      <text>
        <r>
          <rPr>
            <sz val="11"/>
            <color theme="1"/>
            <rFont val="宋体"/>
            <family val="2"/>
            <scheme val="minor"/>
          </rPr>
          <t>批注位于合并区域左上角单元格。</t>
        </r>
      </text>
    </comment>
    <comment ref="D6" authorId="2" shapeId="0" xr:uid="{00000000-0006-0000-0300-000003000000}">
      <text>
        <r>
          <rPr>
            <sz val="11"/>
            <color theme="1"/>
            <rFont val="宋体"/>
            <family val="2"/>
            <scheme val="minor"/>
          </rPr>
          <t>公式单元格批注：公式应保留为 =B6+C6。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Reviewer-Hidden</author>
    <author>Reviewer-Hidden-Blank</author>
  </authors>
  <commentList>
    <comment ref="B2" authorId="0" shapeId="0" xr:uid="{00000000-0006-0000-0400-000001000000}">
      <text>
        <r>
          <rPr>
            <sz val="11"/>
            <color theme="1"/>
            <rFont val="宋体"/>
            <family val="2"/>
            <scheme val="minor"/>
          </rPr>
          <t>隐藏 Sheet 中的批注也应被扫描到。</t>
        </r>
      </text>
    </comment>
    <comment ref="B4" authorId="1" shapeId="0" xr:uid="{00000000-0006-0000-0400-000002000000}">
      <text>
        <r>
          <rPr>
            <sz val="11"/>
            <color theme="1"/>
            <rFont val="宋体"/>
            <family val="2"/>
            <scheme val="minor"/>
          </rPr>
          <t>隐藏 Sheet + 空单元格批注组合测试。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Reviewer-Space</author>
    <author>Reviewer-HiddenRow</author>
    <author>Reviewer-End</author>
  </authors>
  <commentList>
    <comment ref="A2" authorId="0" shapeId="0" xr:uid="{00000000-0006-0000-0500-000001000000}">
      <text>
        <r>
          <rPr>
            <sz val="11"/>
            <color theme="1"/>
            <rFont val="宋体"/>
            <family val="2"/>
            <scheme val="minor"/>
          </rPr>
          <t>Sheet 名称包含空格，请确保索引和回写定位正确。</t>
        </r>
      </text>
    </comment>
    <comment ref="D5" authorId="1" shapeId="0" xr:uid="{00000000-0006-0000-0500-000002000000}">
      <text>
        <r>
          <rPr>
            <sz val="11"/>
            <color theme="1"/>
            <rFont val="宋体"/>
            <family val="2"/>
            <scheme val="minor"/>
          </rPr>
          <t>隐藏行中的批注也应被提取。</t>
        </r>
      </text>
    </comment>
    <comment ref="C7" authorId="2" shapeId="0" xr:uid="{00000000-0006-0000-0500-000003000000}">
      <text>
        <r>
          <rPr>
            <sz val="11"/>
            <color theme="1"/>
            <rFont val="宋体"/>
            <family val="2"/>
            <scheme val="minor"/>
          </rPr>
          <t>最后一行公式批注，用于检查行尾位置。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Reviewer-01</author>
    <author>Reviewer-02</author>
    <author>Reviewer-03</author>
    <author>Reviewer-05</author>
    <author>Reviewer-08</author>
    <author>Reviewer-13</author>
    <author>Reviewer-15</author>
  </authors>
  <commentList>
    <comment ref="C2" authorId="0" shapeId="0" xr:uid="{00000000-0006-0000-0600-000001000000}">
      <text>
        <r>
          <rPr>
            <sz val="11"/>
            <color theme="1"/>
            <rFont val="宋体"/>
            <family val="2"/>
            <scheme val="minor"/>
          </rPr>
          <t>批量测试批注 #01，请确认数值 100。</t>
        </r>
      </text>
    </comment>
    <comment ref="C3" authorId="1" shapeId="0" xr:uid="{00000000-0006-0000-0600-000002000000}">
      <text>
        <r>
          <rPr>
            <sz val="11"/>
            <color theme="1"/>
            <rFont val="宋体"/>
            <family val="2"/>
            <scheme val="minor"/>
          </rPr>
          <t>批量测试批注 #02，请确认数值 200。</t>
        </r>
      </text>
    </comment>
    <comment ref="C4" authorId="2" shapeId="0" xr:uid="{00000000-0006-0000-0600-000003000000}">
      <text>
        <r>
          <rPr>
            <sz val="11"/>
            <color theme="1"/>
            <rFont val="宋体"/>
            <family val="2"/>
            <scheme val="minor"/>
          </rPr>
          <t>批量测试批注 #03，请确认数值 300。</t>
        </r>
      </text>
    </comment>
    <comment ref="C6" authorId="3" shapeId="0" xr:uid="{00000000-0006-0000-0600-000004000000}">
      <text>
        <r>
          <rPr>
            <sz val="11"/>
            <color theme="1"/>
            <rFont val="宋体"/>
            <family val="2"/>
            <scheme val="minor"/>
          </rPr>
          <t>批量测试批注 #05，请确认数值 500。</t>
        </r>
      </text>
    </comment>
    <comment ref="C9" authorId="4" shapeId="0" xr:uid="{00000000-0006-0000-0600-000005000000}">
      <text>
        <r>
          <rPr>
            <sz val="11"/>
            <color theme="1"/>
            <rFont val="宋体"/>
            <family val="2"/>
            <scheme val="minor"/>
          </rPr>
          <t>批量测试批注 #08，请确认数值 800。</t>
        </r>
      </text>
    </comment>
    <comment ref="C14" authorId="5" shapeId="0" xr:uid="{00000000-0006-0000-0600-000006000000}">
      <text>
        <r>
          <rPr>
            <sz val="11"/>
            <color theme="1"/>
            <rFont val="宋体"/>
            <family val="2"/>
            <scheme val="minor"/>
          </rPr>
          <t>批量测试批注 #13，请确认数值 1300。</t>
        </r>
      </text>
    </comment>
    <comment ref="C16" authorId="6" shapeId="0" xr:uid="{00000000-0006-0000-0600-000007000000}">
      <text>
        <r>
          <rPr>
            <sz val="11"/>
            <color theme="1"/>
            <rFont val="宋体"/>
            <family val="2"/>
            <scheme val="minor"/>
          </rPr>
          <t>批量测试批注 #15，请确认数值 1500。</t>
        </r>
      </text>
    </comment>
  </commentList>
</comments>
</file>

<file path=xl/sharedStrings.xml><?xml version="1.0" encoding="utf-8"?>
<sst xmlns="http://schemas.openxmlformats.org/spreadsheetml/2006/main" count="324" uniqueCount="262">
  <si>
    <t>Excel Review Assistant V1 综合验收测试文件</t>
  </si>
  <si>
    <t>预期批注/旧版注释总数</t>
  </si>
  <si>
    <t>预期包含批注的 Sheet 数</t>
  </si>
  <si>
    <t>预期包含批注的 Sheet</t>
  </si>
  <si>
    <t>Sheet With Space、批量批注、注释与特殊字符、空单元格与合并、财务复核、隐藏复核数据</t>
  </si>
  <si>
    <t>预期不含批注的 Sheet</t>
  </si>
  <si>
    <t>无批注Sheet、README_测试说明、标准答案_勿用于抽取</t>
  </si>
  <si>
    <t>重要说明</t>
  </si>
  <si>
    <t>本文件同时覆盖“批注”和“旧版注释/备注(Note)”业务场景。在 openpyxl/V1 中它们统一表现为 cell.comment。本文件不包含 Microsoft 365 Threaded Comments，因为当前 V1 明确不支持它。</t>
  </si>
  <si>
    <t>标准流程</t>
  </si>
  <si>
    <t>1) 上传本文件；2) 下载 review.xlsx；3) 预期抽取 25 条；4) 与“标准答案_勿用于抽取”逐条核对 Sheet/Cell/值/作者/正文；5) 将标准回复填入 Review 的 Reply 列；6) 回传 Review；7) 下载 final.xlsx；8) 每条原批注后应追加“--- / Reply: / 回复内容”；9) 公式、隐藏 Sheet、隐藏行、合并单元格、超链接、数据验证应仍可正常打开。</t>
  </si>
  <si>
    <t>完整性验收</t>
  </si>
  <si>
    <t>财务复核!D3:D6 公式保留；财务复核!B8:D8 合计公式保留；财务复核!H3 超链接保留；空单元格与合并!B4:D4 仍合并；隐藏复核数据仍为 hidden；Sheet With Space 第5行仍 hidden；财务复核!F3:F20 数据验证仍存在。</t>
  </si>
  <si>
    <t>Excel Review Assistant V1 综合测试</t>
  </si>
  <si>
    <t>项目</t>
  </si>
  <si>
    <t>预算金额</t>
  </si>
  <si>
    <t>实际金额</t>
  </si>
  <si>
    <t>差异</t>
  </si>
  <si>
    <t>负责人</t>
  </si>
  <si>
    <t>状态</t>
  </si>
  <si>
    <t>日期</t>
  </si>
  <si>
    <t>说明</t>
  </si>
  <si>
    <t>设备采购</t>
  </si>
  <si>
    <t>张三</t>
  </si>
  <si>
    <t>已完成</t>
  </si>
  <si>
    <t>项目资料链接</t>
  </si>
  <si>
    <t>软件服务</t>
  </si>
  <si>
    <t>李四</t>
  </si>
  <si>
    <t>超预算</t>
  </si>
  <si>
    <t>包含额外实施费</t>
  </si>
  <si>
    <t>咨询服务</t>
  </si>
  <si>
    <t>王五</t>
  </si>
  <si>
    <t>差旅</t>
  </si>
  <si>
    <t>赵六</t>
  </si>
  <si>
    <t>进行中</t>
  </si>
  <si>
    <t>部分报销待提交</t>
  </si>
  <si>
    <t>合计</t>
  </si>
  <si>
    <t>字段</t>
  </si>
  <si>
    <t>内容</t>
  </si>
  <si>
    <t>备注</t>
  </si>
  <si>
    <t>中文文本</t>
  </si>
  <si>
    <t>合同编号：HT-2026-001</t>
  </si>
  <si>
    <t>正常中文</t>
  </si>
  <si>
    <t>英文文本</t>
  </si>
  <si>
    <t>Revenue Recognition Policy</t>
  </si>
  <si>
    <t>English</t>
  </si>
  <si>
    <t>特殊符号</t>
  </si>
  <si>
    <t>¥ ￥ $ € % &amp; &lt; &gt; / \ | : ; @ # " '</t>
  </si>
  <si>
    <t>symbols</t>
  </si>
  <si>
    <t>Emoji</t>
  </si>
  <si>
    <t>完成✅ 待办⚠️ 测试🧪</t>
  </si>
  <si>
    <t>unicode</t>
  </si>
  <si>
    <t>长文本</t>
  </si>
  <si>
    <t>这是一段较长的测试文本，用来验证系统在单元格内容较长时仍然可以正确提取批注，并且不会截断原始内容。这是一段较长的测试文本，用来验证系统在单元格内容较长时仍然可以正确提取批注，并且不会截断原始内容。这是一段较长的测试文本，用来验证系统在单元格内容较长时仍然可以正确提取批注，并且不会截断原始内容。</t>
  </si>
  <si>
    <t>long</t>
  </si>
  <si>
    <t>场景</t>
  </si>
  <si>
    <t>数据</t>
  </si>
  <si>
    <t>结果</t>
  </si>
  <si>
    <t>空单元格批注</t>
  </si>
  <si>
    <t>合并单元格</t>
  </si>
  <si>
    <t>合并区域内容</t>
  </si>
  <si>
    <t>公式单元格</t>
  </si>
  <si>
    <t>Hidden Key</t>
  </si>
  <si>
    <t>Hidden Value</t>
  </si>
  <si>
    <t>secret-001</t>
  </si>
  <si>
    <t>空值</t>
  </si>
  <si>
    <t>ID</t>
  </si>
  <si>
    <t>Value</t>
  </si>
  <si>
    <t>Formula</t>
  </si>
  <si>
    <t>Description</t>
  </si>
  <si>
    <t>ROW-01</t>
  </si>
  <si>
    <t>Row 1</t>
  </si>
  <si>
    <t>ROW-02</t>
  </si>
  <si>
    <t>Row 2</t>
  </si>
  <si>
    <t>ROW-03</t>
  </si>
  <si>
    <t>Row 3</t>
  </si>
  <si>
    <t>ROW-04</t>
  </si>
  <si>
    <t>Row 4</t>
  </si>
  <si>
    <t>ROW-05</t>
  </si>
  <si>
    <t>Row 5</t>
  </si>
  <si>
    <t>ROW-06</t>
  </si>
  <si>
    <t>Row 6</t>
  </si>
  <si>
    <t>序号</t>
  </si>
  <si>
    <t>值</t>
  </si>
  <si>
    <t>测试项-01</t>
  </si>
  <si>
    <t>测试项-02</t>
  </si>
  <si>
    <t>测试项-03</t>
  </si>
  <si>
    <t>测试项-04</t>
  </si>
  <si>
    <t>测试项-05</t>
  </si>
  <si>
    <t>测试项-06</t>
  </si>
  <si>
    <t>测试项-07</t>
  </si>
  <si>
    <t>测试项-08</t>
  </si>
  <si>
    <t>测试项-09</t>
  </si>
  <si>
    <t>测试项-10</t>
  </si>
  <si>
    <t>测试项-11</t>
  </si>
  <si>
    <t>测试项-12</t>
  </si>
  <si>
    <t>测试项-13</t>
  </si>
  <si>
    <t>测试项-14</t>
  </si>
  <si>
    <t>测试项-15</t>
  </si>
  <si>
    <t>A</t>
  </si>
  <si>
    <t>B</t>
  </si>
  <si>
    <t>C</t>
  </si>
  <si>
    <t>预期ID</t>
  </si>
  <si>
    <t>类型</t>
  </si>
  <si>
    <t>Sheet</t>
  </si>
  <si>
    <t>Cell</t>
  </si>
  <si>
    <t>原单元格值</t>
  </si>
  <si>
    <t>作者</t>
  </si>
  <si>
    <t>原批注/注释内容</t>
  </si>
  <si>
    <t>标准回复</t>
  </si>
  <si>
    <t>最终批注标准结果</t>
  </si>
  <si>
    <t>C001</t>
  </si>
  <si>
    <t>Comment</t>
  </si>
  <si>
    <t>财务复核</t>
  </si>
  <si>
    <t>B3</t>
  </si>
  <si>
    <t>财务复核-Alice</t>
  </si>
  <si>
    <t>请确认设备预算是否包含税费。</t>
  </si>
  <si>
    <t>已确认，设备预算金额为含税口径。</t>
  </si>
  <si>
    <t>请确认设备预算是否包含税费。
---
Reply:
已确认，设备预算金额为含税口径。</t>
  </si>
  <si>
    <t>C002</t>
  </si>
  <si>
    <t>C4</t>
  </si>
  <si>
    <t>经理-Bob</t>
  </si>
  <si>
    <t>实际金额高于预算，请说明新增费用构成。</t>
  </si>
  <si>
    <t>已核对，超预算12,000元为新增实施服务费。</t>
  </si>
  <si>
    <t>实际金额高于预算，请说明新增费用构成。
---
Reply:
已核对，超预算12,000元为新增实施服务费。</t>
  </si>
  <si>
    <t>C003</t>
  </si>
  <si>
    <t>H5</t>
  </si>
  <si>
    <t>审计-Carol</t>
  </si>
  <si>
    <t>此处为空说明，请补充咨询服务交付成果。</t>
  </si>
  <si>
    <t>已补充：交付成果包括诊断报告、实施方案和复盘纪要。</t>
  </si>
  <si>
    <t>此处为空说明，请补充咨询服务交付成果。
---
Reply:
已补充：交付成果包括诊断报告、实施方案和复盘纪要。</t>
  </si>
  <si>
    <t>C004</t>
  </si>
  <si>
    <t>G6</t>
  </si>
  <si>
    <t>日期请与报销单据日期核对。</t>
  </si>
  <si>
    <t>已核对，日期与报销单据一致。</t>
  </si>
  <si>
    <t>日期请与报销单据日期核对。
---
Reply:
已核对，日期与报销单据一致。</t>
  </si>
  <si>
    <t>C005</t>
  </si>
  <si>
    <t>A6</t>
  </si>
  <si>
    <t>内部审计-David</t>
  </si>
  <si>
    <t>这是一个多行批注：
1. 核对差旅行程
2. 核对发票
3. 核对审批记录</t>
  </si>
  <si>
    <t>已完成行程、发票和审批记录三项核对。</t>
  </si>
  <si>
    <t>这是一个多行批注：
1. 核对差旅行程
2. 核对发票
3. 核对审批记录
---
Reply:
已完成行程、发票和审批记录三项核对。</t>
  </si>
  <si>
    <t>C006</t>
  </si>
  <si>
    <t>Note</t>
  </si>
  <si>
    <t>注释与特殊字符</t>
  </si>
  <si>
    <t>B2</t>
  </si>
  <si>
    <t>Reviewer-1</t>
  </si>
  <si>
    <t>注释测试：请确认合同编号与原文件一致。</t>
  </si>
  <si>
    <t>已确认合同编号为 HT-2026-001，与原文件一致。</t>
  </si>
  <si>
    <t>注释测试：请确认合同编号与原文件一致。
---
Reply:
已确认合同编号为 HT-2026-001，与原文件一致。</t>
  </si>
  <si>
    <t>C007</t>
  </si>
  <si>
    <t>Reviewer-EN</t>
  </si>
  <si>
    <t>Please verify the English wording and capitalization.</t>
  </si>
  <si>
    <t>Verified. The wording and capitalization are correct.</t>
  </si>
  <si>
    <t>Please verify the English wording and capitalization.
---
Reply:
Verified. The wording and capitalization are correct.</t>
  </si>
  <si>
    <t>C008</t>
  </si>
  <si>
    <t>B4</t>
  </si>
  <si>
    <t>Reviewer-Symbol</t>
  </si>
  <si>
    <t>特殊字符批注：人民币符号￥、竖线|、反斜杠\、引号"以及单引号'都应保留。</t>
  </si>
  <si>
    <t>已确认特殊字符均保留完整。</t>
  </si>
  <si>
    <t>特殊字符批注：人民币符号￥、竖线|、反斜杠\、引号"以及单引号'都应保留。
---
Reply:
已确认特殊字符均保留完整。</t>
  </si>
  <si>
    <t>C009</t>
  </si>
  <si>
    <t>B5</t>
  </si>
  <si>
    <t>Reviewer-Unicode</t>
  </si>
  <si>
    <t>Emoji 批注：✅⚠️🧪 应正常保留。</t>
  </si>
  <si>
    <t>已确认 Emoji 显示正常。</t>
  </si>
  <si>
    <t>Emoji 批注：✅⚠️🧪 应正常保留。
---
Reply:
已确认 Emoji 显示正常。</t>
  </si>
  <si>
    <t>C010</t>
  </si>
  <si>
    <t>B6</t>
  </si>
  <si>
    <t>Reviewer-Long</t>
  </si>
  <si>
    <t>长批注开始：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长批注结束。</t>
  </si>
  <si>
    <t>已逐项检查，长文本与长批注均完整。</t>
  </si>
  <si>
    <t>长批注开始：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请逐项检查该段内容是否完整；长批注结束。
---
Reply:
已逐项检查，长文本与长批注均完整。</t>
  </si>
  <si>
    <t>C011</t>
  </si>
  <si>
    <t>空单元格与合并</t>
  </si>
  <si>
    <t>Reviewer-Blank</t>
  </si>
  <si>
    <t>这个单元格没有值，但存在批注，必须被提取。</t>
  </si>
  <si>
    <t>已确认：空单元格批注可以正常追踪。</t>
  </si>
  <si>
    <t>这个单元格没有值，但存在批注，必须被提取。
---
Reply:
已确认：空单元格批注可以正常追踪。</t>
  </si>
  <si>
    <t>C012</t>
  </si>
  <si>
    <t>Reviewer-Merge</t>
  </si>
  <si>
    <t>批注位于合并区域左上角单元格。</t>
  </si>
  <si>
    <t>已确认合并区域左上角定位正确。</t>
  </si>
  <si>
    <t>批注位于合并区域左上角单元格。
---
Reply:
已确认合并区域左上角定位正确。</t>
  </si>
  <si>
    <t>C013</t>
  </si>
  <si>
    <t>D6</t>
  </si>
  <si>
    <t>Reviewer-Formula</t>
  </si>
  <si>
    <t>公式单元格批注：公式应保留为 =B6+C6。</t>
  </si>
  <si>
    <t>已确认公式 =B6+C6 保持不变。</t>
  </si>
  <si>
    <t>公式单元格批注：公式应保留为 =B6+C6。
---
Reply:
已确认公式 =B6+C6 保持不变。</t>
  </si>
  <si>
    <t>C014</t>
  </si>
  <si>
    <t>隐藏复核数据</t>
  </si>
  <si>
    <t>Reviewer-Hidden</t>
  </si>
  <si>
    <t>隐藏 Sheet 中的批注也应被扫描到。</t>
  </si>
  <si>
    <t>已确认隐藏 Sheet 批注已成功提取。</t>
  </si>
  <si>
    <t>隐藏 Sheet 中的批注也应被扫描到。
---
Reply:
已确认隐藏 Sheet 批注已成功提取。</t>
  </si>
  <si>
    <t>C015</t>
  </si>
  <si>
    <t>Reviewer-Hidden-Blank</t>
  </si>
  <si>
    <t>隐藏 Sheet + 空单元格批注组合测试。</t>
  </si>
  <si>
    <t>已确认隐藏 Sheet 的空单元格批注已成功提取。</t>
  </si>
  <si>
    <t>隐藏 Sheet + 空单元格批注组合测试。
---
Reply:
已确认隐藏 Sheet 的空单元格批注已成功提取。</t>
  </si>
  <si>
    <t>C016</t>
  </si>
  <si>
    <t>Sheet With Space</t>
  </si>
  <si>
    <t>A2</t>
  </si>
  <si>
    <t>Reviewer-Space</t>
  </si>
  <si>
    <t>Sheet 名称包含空格，请确保索引和回写定位正确。</t>
  </si>
  <si>
    <t>已确认带空格的 Sheet 名称定位正确。</t>
  </si>
  <si>
    <t>Sheet 名称包含空格，请确保索引和回写定位正确。
---
Reply:
已确认带空格的 Sheet 名称定位正确。</t>
  </si>
  <si>
    <t>C017</t>
  </si>
  <si>
    <t>C7</t>
  </si>
  <si>
    <t>Reviewer-End</t>
  </si>
  <si>
    <t>最后一行公式批注，用于检查行尾位置。</t>
  </si>
  <si>
    <t>已确认末行公式批注定位正确。</t>
  </si>
  <si>
    <t>最后一行公式批注，用于检查行尾位置。
---
Reply:
已确认末行公式批注定位正确。</t>
  </si>
  <si>
    <t>C018</t>
  </si>
  <si>
    <t>D5</t>
  </si>
  <si>
    <t>Reviewer-HiddenRow</t>
  </si>
  <si>
    <t>隐藏行中的批注也应被提取。</t>
  </si>
  <si>
    <t>已确认隐藏行中的批注已成功提取。</t>
  </si>
  <si>
    <t>隐藏行中的批注也应被提取。
---
Reply:
已确认隐藏行中的批注已成功提取。</t>
  </si>
  <si>
    <t>C019</t>
  </si>
  <si>
    <t>批量批注</t>
  </si>
  <si>
    <t>C2</t>
  </si>
  <si>
    <t>Reviewer-01</t>
  </si>
  <si>
    <t>批量测试批注 #01，请确认数值 100。</t>
  </si>
  <si>
    <t>已确认 C2 对应数值正确。</t>
  </si>
  <si>
    <t>批量测试批注 #01，请确认数值 100。
---
Reply:
已确认 C2 对应数值正确。</t>
  </si>
  <si>
    <t>C020</t>
  </si>
  <si>
    <t>C3</t>
  </si>
  <si>
    <t>Reviewer-02</t>
  </si>
  <si>
    <t>批量测试批注 #02，请确认数值 200。</t>
  </si>
  <si>
    <t>已确认 C3 对应数值正确。</t>
  </si>
  <si>
    <t>批量测试批注 #02，请确认数值 200。
---
Reply:
已确认 C3 对应数值正确。</t>
  </si>
  <si>
    <t>C021</t>
  </si>
  <si>
    <t>Reviewer-03</t>
  </si>
  <si>
    <t>批量测试批注 #03，请确认数值 300。</t>
  </si>
  <si>
    <t>已确认 C4 对应数值正确。</t>
  </si>
  <si>
    <t>批量测试批注 #03，请确认数值 300。
---
Reply:
已确认 C4 对应数值正确。</t>
  </si>
  <si>
    <t>C022</t>
  </si>
  <si>
    <t>C6</t>
  </si>
  <si>
    <t>Reviewer-05</t>
  </si>
  <si>
    <t>批量测试批注 #05，请确认数值 500。</t>
  </si>
  <si>
    <t>已确认 C6 对应数值正确。</t>
  </si>
  <si>
    <t>批量测试批注 #05，请确认数值 500。
---
Reply:
已确认 C6 对应数值正确。</t>
  </si>
  <si>
    <t>C023</t>
  </si>
  <si>
    <t>C9</t>
  </si>
  <si>
    <t>Reviewer-08</t>
  </si>
  <si>
    <t>批量测试批注 #08，请确认数值 800。</t>
  </si>
  <si>
    <t>已确认 C9 对应数值正确。</t>
  </si>
  <si>
    <t>批量测试批注 #08，请确认数值 800。
---
Reply:
已确认 C9 对应数值正确。</t>
  </si>
  <si>
    <t>C024</t>
  </si>
  <si>
    <t>C14</t>
  </si>
  <si>
    <t>Reviewer-13</t>
  </si>
  <si>
    <t>批量测试批注 #13，请确认数值 1300。</t>
  </si>
  <si>
    <t>已确认 C14 对应数值正确。</t>
  </si>
  <si>
    <t>批量测试批注 #13，请确认数值 1300。
---
Reply:
已确认 C14 对应数值正确。</t>
  </si>
  <si>
    <t>C025</t>
  </si>
  <si>
    <t>C16</t>
  </si>
  <si>
    <t>Reviewer-15</t>
  </si>
  <si>
    <t>批量测试批注 #15，请确认数值 1500。</t>
  </si>
  <si>
    <t>已确认 C16 对应数值正确。</t>
  </si>
  <si>
    <t>批量测试批注 #15，请确认数值 1500。
---
Reply:
已确认 C16 对应数值正确。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</si>
</sst>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\ h:mm:ss"/>
    <numFmt numFmtId="177" formatCode="yyyy\-mm\-dd"/>
  </numFmts>
  <fonts count="6">
    <font>
      <sz val="11"/>
      <color theme="1"/>
      <name val="宋体"/>
      <family val="2"/>
      <scheme val="minor"/>
    </font>
    <font>
      <b/>
      <sz val="14"/>
      <name val="宋体"/>
      <family val="3"/>
      <charset val="134"/>
    </font>
    <font>
      <b/>
      <sz val="11"/>
      <name val="宋体"/>
      <family val="3"/>
      <charset val="134"/>
    </font>
    <font>
      <sz val="12"/>
      <color theme="10"/>
      <name val="宋体"/>
      <family val="2"/>
      <scheme val="minor"/>
    </font>
    <font>
      <sz val="10"/>
      <color rgb="FF000000"/>
      <name val="Microsoft YaHei UI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/>
    </xf>
    <xf numFmtId="177" fontId="0" fillId="0" borderId="0" xfId="0" applyNumberFormat="1"/>
    <xf numFmtId="0" fontId="3" fillId="0" borderId="0" xfId="1"/>
    <xf numFmtId="0" fontId="2" fillId="0" borderId="0" xfId="0" applyFont="1"/>
    <xf numFmtId="0" fontId="2" fillId="3" borderId="0" xfId="0" applyFont="1" applyFill="1"/>
    <xf numFmtId="0" fontId="2" fillId="4" borderId="0" xfId="0" applyFont="1" applyFill="1" applyAlignment="1">
      <alignment vertical="top" wrapText="1"/>
    </xf>
    <xf numFmtId="176" fontId="0" fillId="0" borderId="0" xfId="0" applyNumberFormat="1" applyAlignment="1">
      <alignment vertical="top" wrapText="1"/>
    </xf>
    <xf numFmtId="0" fontId="1" fillId="0" borderId="0" xfId="0" applyFont="1"/>
    <xf numFmtId="0" fontId="0" fillId="0" borderId="0" xfId="0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审阅人" id="{EBE3744D-4F34-D340-B92B-D8028205E2C4}" userId="S::reviewer@example.com::00000000-0000-0000-0000-00000000000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6-10-13T06:00:38.62" personId="{EBE3744D-4F34-D340-B92B-D8028205E2C4}" id="{E4094D4E-AAB1-B84B-AC15-FC68F56E6A5A}">
    <text>通过测试批注来了解你是真的假的</text>
  </threadedComment>
  <threadedComment ref="B5" dT="2026-10-13T06:00:24.46" personId="{EBE3744D-4F34-D340-B92B-D8028205E2C4}" id="{40811AF4-63FB-7B49-B2F0-81CB38560356}">
    <text>批注测试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project/device" TargetMode="Externa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B15" sqref="B15"/>
    </sheetView>
  </sheetViews>
  <sheetFormatPr baseColWidth="10" defaultColWidth="8.83203125" defaultRowHeight="14"/>
  <cols>
    <col min="1" max="1" width="30" customWidth="1"/>
    <col min="2" max="2" width="110" customWidth="1"/>
  </cols>
  <sheetData>
    <row r="1" spans="1:2" ht="17">
      <c r="A1" s="1" t="s">
        <v>0</v>
      </c>
    </row>
    <row r="3" spans="1:2">
      <c r="A3" t="s">
        <v>1</v>
      </c>
      <c r="B3">
        <v>25</v>
      </c>
    </row>
    <row r="4" spans="1:2">
      <c r="A4" t="s">
        <v>2</v>
      </c>
      <c r="B4">
        <v>6</v>
      </c>
    </row>
    <row r="5" spans="1:2">
      <c r="A5" t="s">
        <v>3</v>
      </c>
      <c r="B5" t="s">
        <v>4</v>
      </c>
    </row>
    <row r="6" spans="1:2">
      <c r="A6" t="s">
        <v>5</v>
      </c>
      <c r="B6" t="s">
        <v>6</v>
      </c>
    </row>
    <row r="8" spans="1:2" ht="30">
      <c r="A8" t="s">
        <v>7</v>
      </c>
      <c r="B8" s="2" t="s">
        <v>8</v>
      </c>
    </row>
    <row r="10" spans="1:2" ht="45">
      <c r="A10" t="s">
        <v>9</v>
      </c>
      <c r="B10" s="2" t="s">
        <v>10</v>
      </c>
    </row>
    <row r="12" spans="1:2" ht="30">
      <c r="A12" t="s">
        <v>11</v>
      </c>
      <c r="B12" s="2" t="s">
        <v>12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tabSelected="1" workbookViewId="0">
      <pane ySplit="2" topLeftCell="A3" activePane="bottomLeft" state="frozen"/>
      <selection pane="bottomLeft" activeCell="H17" sqref="H16:H17"/>
    </sheetView>
  </sheetViews>
  <sheetFormatPr baseColWidth="10" defaultColWidth="8.83203125" defaultRowHeight="14"/>
  <cols>
    <col min="1" max="1" width="16" customWidth="1"/>
    <col min="2" max="3" width="14" customWidth="1"/>
    <col min="4" max="6" width="12" customWidth="1"/>
    <col min="7" max="7" width="13" customWidth="1"/>
    <col min="8" max="8" width="30" customWidth="1"/>
  </cols>
  <sheetData>
    <row r="1" spans="1:8" ht="17">
      <c r="A1" s="10" t="s">
        <v>13</v>
      </c>
      <c r="B1" s="11"/>
      <c r="C1" s="11"/>
      <c r="D1" s="11"/>
      <c r="E1" s="11"/>
      <c r="F1" s="11"/>
      <c r="G1" s="11"/>
      <c r="H1" s="11"/>
    </row>
    <row r="2" spans="1:8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</row>
    <row r="3" spans="1:8" ht="15">
      <c r="A3" t="s">
        <v>22</v>
      </c>
      <c r="B3">
        <v>120000</v>
      </c>
      <c r="C3">
        <v>118500</v>
      </c>
      <c r="D3">
        <f>C3-B3</f>
        <v>-1500</v>
      </c>
      <c r="E3" t="s">
        <v>23</v>
      </c>
      <c r="F3" t="s">
        <v>24</v>
      </c>
      <c r="G3" s="4">
        <v>46296</v>
      </c>
      <c r="H3" s="5" t="s">
        <v>25</v>
      </c>
    </row>
    <row r="4" spans="1:8">
      <c r="A4" t="s">
        <v>26</v>
      </c>
      <c r="B4">
        <v>80000</v>
      </c>
      <c r="C4">
        <v>92000</v>
      </c>
      <c r="D4">
        <f>C4-B4</f>
        <v>12000</v>
      </c>
      <c r="E4" t="s">
        <v>27</v>
      </c>
      <c r="F4" t="s">
        <v>28</v>
      </c>
      <c r="G4" s="4">
        <v>46300</v>
      </c>
      <c r="H4" t="s">
        <v>29</v>
      </c>
    </row>
    <row r="5" spans="1:8">
      <c r="A5" t="s">
        <v>30</v>
      </c>
      <c r="B5">
        <v>50000</v>
      </c>
      <c r="C5">
        <v>50000</v>
      </c>
      <c r="D5">
        <f>C5-B5</f>
        <v>0</v>
      </c>
      <c r="E5" t="s">
        <v>31</v>
      </c>
      <c r="F5" t="s">
        <v>24</v>
      </c>
      <c r="G5" s="4">
        <v>46293</v>
      </c>
    </row>
    <row r="6" spans="1:8">
      <c r="A6" t="s">
        <v>32</v>
      </c>
      <c r="B6">
        <v>30000</v>
      </c>
      <c r="C6">
        <v>12500</v>
      </c>
      <c r="D6">
        <f>C6-B6</f>
        <v>-17500</v>
      </c>
      <c r="E6" t="s">
        <v>33</v>
      </c>
      <c r="F6" t="s">
        <v>34</v>
      </c>
      <c r="G6" s="4">
        <v>46305</v>
      </c>
      <c r="H6" t="s">
        <v>35</v>
      </c>
    </row>
    <row r="8" spans="1:8">
      <c r="A8" s="6" t="s">
        <v>36</v>
      </c>
      <c r="B8" s="6">
        <f>SUM(B3:B6)</f>
        <v>280000</v>
      </c>
      <c r="C8" s="6">
        <f>SUM(C3:C6)</f>
        <v>273000</v>
      </c>
      <c r="D8" s="6">
        <f>SUM(D3:D6)</f>
        <v>-7000</v>
      </c>
    </row>
  </sheetData>
  <mergeCells count="1">
    <mergeCell ref="A1:H1"/>
  </mergeCells>
  <phoneticPr fontId="5" type="noConversion"/>
  <dataValidations count="1">
    <dataValidation type="list" allowBlank="1" sqref="F3:F20" xr:uid="{00000000-0002-0000-0100-000000000000}">
      <formula1>"已完成,进行中,超预算,待确认"</formula1>
    </dataValidation>
  </dataValidations>
  <hyperlinks>
    <hyperlink ref="H3" r:id="rId1" xr:uid="{00000000-0004-0000-0100-000000000000}"/>
  </hyperlinks>
  <pageMargins left="0.75" right="0.75" top="1" bottom="1" header="0.5" footer="0.5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baseColWidth="10" defaultColWidth="8.83203125" defaultRowHeight="14"/>
  <cols>
    <col min="1" max="1" width="16" customWidth="1"/>
    <col min="2" max="2" width="55" customWidth="1"/>
    <col min="3" max="3" width="18" customWidth="1"/>
  </cols>
  <sheetData>
    <row r="1" spans="1:3">
      <c r="A1" s="7" t="s">
        <v>37</v>
      </c>
      <c r="B1" s="7" t="s">
        <v>38</v>
      </c>
      <c r="C1" s="7" t="s">
        <v>39</v>
      </c>
    </row>
    <row r="2" spans="1:3">
      <c r="A2" t="s">
        <v>40</v>
      </c>
      <c r="B2" t="s">
        <v>41</v>
      </c>
      <c r="C2" t="s">
        <v>42</v>
      </c>
    </row>
    <row r="3" spans="1:3">
      <c r="A3" t="s">
        <v>43</v>
      </c>
      <c r="B3" t="s">
        <v>44</v>
      </c>
      <c r="C3" t="s">
        <v>45</v>
      </c>
    </row>
    <row r="4" spans="1:3">
      <c r="A4" t="s">
        <v>46</v>
      </c>
      <c r="B4" t="s">
        <v>47</v>
      </c>
      <c r="C4" t="s">
        <v>48</v>
      </c>
    </row>
    <row r="5" spans="1:3">
      <c r="A5" t="s">
        <v>49</v>
      </c>
      <c r="B5" t="s">
        <v>50</v>
      </c>
      <c r="C5" t="s">
        <v>51</v>
      </c>
    </row>
    <row r="6" spans="1:3">
      <c r="A6" t="s">
        <v>52</v>
      </c>
      <c r="B6" t="s">
        <v>53</v>
      </c>
      <c r="C6" t="s">
        <v>54</v>
      </c>
    </row>
  </sheetData>
  <phoneticPr fontId="5" type="noConversion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/>
  </sheetViews>
  <sheetFormatPr baseColWidth="10" defaultColWidth="8.83203125" defaultRowHeight="14"/>
  <cols>
    <col min="1" max="1" width="18" customWidth="1"/>
    <col min="2" max="4" width="20" customWidth="1"/>
  </cols>
  <sheetData>
    <row r="1" spans="1:4">
      <c r="A1" s="6" t="s">
        <v>55</v>
      </c>
      <c r="B1" s="6" t="s">
        <v>56</v>
      </c>
      <c r="C1" s="6" t="s">
        <v>21</v>
      </c>
      <c r="D1" s="6" t="s">
        <v>57</v>
      </c>
    </row>
    <row r="2" spans="1:4">
      <c r="A2" t="s">
        <v>58</v>
      </c>
    </row>
    <row r="4" spans="1:4">
      <c r="A4" t="s">
        <v>59</v>
      </c>
      <c r="B4" s="11" t="s">
        <v>60</v>
      </c>
      <c r="C4" s="11"/>
      <c r="D4" s="11"/>
    </row>
    <row r="6" spans="1:4">
      <c r="A6" t="s">
        <v>61</v>
      </c>
      <c r="B6">
        <v>10</v>
      </c>
      <c r="C6">
        <v>20</v>
      </c>
      <c r="D6">
        <f>B6+C6</f>
        <v>30</v>
      </c>
    </row>
  </sheetData>
  <mergeCells count="1">
    <mergeCell ref="B4:D4"/>
  </mergeCells>
  <phoneticPr fontId="5" type="noConversion"/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baseColWidth="10" defaultColWidth="8.83203125" defaultRowHeight="14"/>
  <sheetData>
    <row r="1" spans="1:2">
      <c r="A1" t="s">
        <v>62</v>
      </c>
      <c r="B1" t="s">
        <v>63</v>
      </c>
    </row>
    <row r="2" spans="1:2">
      <c r="A2" t="s">
        <v>64</v>
      </c>
      <c r="B2">
        <v>12345</v>
      </c>
    </row>
    <row r="4" spans="1:2">
      <c r="A4" t="s">
        <v>65</v>
      </c>
    </row>
  </sheetData>
  <phoneticPr fontId="5" type="noConversion"/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workbookViewId="0"/>
  </sheetViews>
  <sheetFormatPr baseColWidth="10" defaultColWidth="8.83203125" defaultRowHeight="14"/>
  <sheetData>
    <row r="1" spans="1:4">
      <c r="A1" s="6" t="s">
        <v>66</v>
      </c>
      <c r="B1" s="6" t="s">
        <v>67</v>
      </c>
      <c r="C1" s="6" t="s">
        <v>68</v>
      </c>
      <c r="D1" s="6" t="s">
        <v>69</v>
      </c>
    </row>
    <row r="2" spans="1:4">
      <c r="A2" t="s">
        <v>70</v>
      </c>
      <c r="B2">
        <v>20</v>
      </c>
      <c r="C2">
        <f t="shared" ref="C2:C7" si="0">B2*2</f>
        <v>40</v>
      </c>
      <c r="D2" t="s">
        <v>71</v>
      </c>
    </row>
    <row r="3" spans="1:4">
      <c r="A3" t="s">
        <v>72</v>
      </c>
      <c r="B3">
        <v>30</v>
      </c>
      <c r="C3">
        <f t="shared" si="0"/>
        <v>60</v>
      </c>
      <c r="D3" t="s">
        <v>73</v>
      </c>
    </row>
    <row r="4" spans="1:4">
      <c r="A4" t="s">
        <v>74</v>
      </c>
      <c r="B4">
        <v>40</v>
      </c>
      <c r="C4">
        <f t="shared" si="0"/>
        <v>80</v>
      </c>
      <c r="D4" t="s">
        <v>75</v>
      </c>
    </row>
    <row r="5" spans="1:4" hidden="1">
      <c r="A5" t="s">
        <v>76</v>
      </c>
      <c r="B5">
        <v>50</v>
      </c>
      <c r="C5">
        <f t="shared" si="0"/>
        <v>100</v>
      </c>
      <c r="D5" t="s">
        <v>77</v>
      </c>
    </row>
    <row r="6" spans="1:4">
      <c r="A6" t="s">
        <v>78</v>
      </c>
      <c r="B6">
        <v>60</v>
      </c>
      <c r="C6">
        <f t="shared" si="0"/>
        <v>120</v>
      </c>
      <c r="D6" t="s">
        <v>79</v>
      </c>
    </row>
    <row r="7" spans="1:4">
      <c r="A7" t="s">
        <v>80</v>
      </c>
      <c r="B7">
        <v>70</v>
      </c>
      <c r="C7">
        <f t="shared" si="0"/>
        <v>140</v>
      </c>
      <c r="D7" t="s">
        <v>81</v>
      </c>
    </row>
  </sheetData>
  <phoneticPr fontId="5" type="noConversion"/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6"/>
  <sheetViews>
    <sheetView workbookViewId="0"/>
  </sheetViews>
  <sheetFormatPr baseColWidth="10" defaultColWidth="8.83203125" defaultRowHeight="14"/>
  <sheetData>
    <row r="1" spans="1:3">
      <c r="A1" s="6" t="s">
        <v>82</v>
      </c>
      <c r="B1" s="6" t="s">
        <v>14</v>
      </c>
      <c r="C1" s="6" t="s">
        <v>83</v>
      </c>
    </row>
    <row r="2" spans="1:3">
      <c r="A2">
        <v>1</v>
      </c>
      <c r="B2" t="s">
        <v>84</v>
      </c>
      <c r="C2">
        <v>100</v>
      </c>
    </row>
    <row r="3" spans="1:3">
      <c r="A3">
        <v>2</v>
      </c>
      <c r="B3" t="s">
        <v>85</v>
      </c>
      <c r="C3">
        <v>200</v>
      </c>
    </row>
    <row r="4" spans="1:3">
      <c r="A4">
        <v>3</v>
      </c>
      <c r="B4" t="s">
        <v>86</v>
      </c>
      <c r="C4">
        <v>300</v>
      </c>
    </row>
    <row r="5" spans="1:3">
      <c r="A5">
        <v>4</v>
      </c>
      <c r="B5" t="s">
        <v>87</v>
      </c>
      <c r="C5">
        <v>400</v>
      </c>
    </row>
    <row r="6" spans="1:3">
      <c r="A6">
        <v>5</v>
      </c>
      <c r="B6" t="s">
        <v>88</v>
      </c>
      <c r="C6">
        <v>500</v>
      </c>
    </row>
    <row r="7" spans="1:3">
      <c r="A7">
        <v>6</v>
      </c>
      <c r="B7" t="s">
        <v>89</v>
      </c>
      <c r="C7">
        <v>600</v>
      </c>
    </row>
    <row r="8" spans="1:3">
      <c r="A8">
        <v>7</v>
      </c>
      <c r="B8" t="s">
        <v>90</v>
      </c>
      <c r="C8">
        <v>700</v>
      </c>
    </row>
    <row r="9" spans="1:3">
      <c r="A9">
        <v>8</v>
      </c>
      <c r="B9" t="s">
        <v>91</v>
      </c>
      <c r="C9">
        <v>800</v>
      </c>
    </row>
    <row r="10" spans="1:3">
      <c r="A10">
        <v>9</v>
      </c>
      <c r="B10" t="s">
        <v>92</v>
      </c>
      <c r="C10">
        <v>900</v>
      </c>
    </row>
    <row r="11" spans="1:3">
      <c r="A11">
        <v>10</v>
      </c>
      <c r="B11" t="s">
        <v>93</v>
      </c>
      <c r="C11">
        <v>1000</v>
      </c>
    </row>
    <row r="12" spans="1:3">
      <c r="A12">
        <v>11</v>
      </c>
      <c r="B12" t="s">
        <v>94</v>
      </c>
      <c r="C12">
        <v>1100</v>
      </c>
    </row>
    <row r="13" spans="1:3">
      <c r="A13">
        <v>12</v>
      </c>
      <c r="B13" t="s">
        <v>95</v>
      </c>
      <c r="C13">
        <v>1200</v>
      </c>
    </row>
    <row r="14" spans="1:3">
      <c r="A14">
        <v>13</v>
      </c>
      <c r="B14" t="s">
        <v>96</v>
      </c>
      <c r="C14">
        <v>1300</v>
      </c>
    </row>
    <row r="15" spans="1:3">
      <c r="A15">
        <v>14</v>
      </c>
      <c r="B15" t="s">
        <v>97</v>
      </c>
      <c r="C15">
        <v>1400</v>
      </c>
    </row>
    <row r="16" spans="1:3">
      <c r="A16">
        <v>15</v>
      </c>
      <c r="B16" t="s">
        <v>98</v>
      </c>
      <c r="C16">
        <v>1500</v>
      </c>
    </row>
  </sheetData>
  <phoneticPr fontId="5" type="noConversion"/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/>
  </sheetViews>
  <sheetFormatPr baseColWidth="10" defaultColWidth="8.83203125" defaultRowHeight="14"/>
  <sheetData>
    <row r="1" spans="1:3">
      <c r="A1" t="s">
        <v>99</v>
      </c>
      <c r="B1" t="s">
        <v>100</v>
      </c>
      <c r="C1" t="s">
        <v>101</v>
      </c>
    </row>
    <row r="2" spans="1:3">
      <c r="A2">
        <v>2</v>
      </c>
      <c r="B2">
        <v>4</v>
      </c>
      <c r="C2">
        <v>6</v>
      </c>
    </row>
    <row r="3" spans="1:3">
      <c r="A3">
        <v>3</v>
      </c>
      <c r="B3">
        <v>6</v>
      </c>
      <c r="C3">
        <v>9</v>
      </c>
    </row>
    <row r="4" spans="1:3">
      <c r="A4">
        <v>4</v>
      </c>
      <c r="B4">
        <v>8</v>
      </c>
      <c r="C4">
        <v>12</v>
      </c>
    </row>
    <row r="5" spans="1:3">
      <c r="A5">
        <v>5</v>
      </c>
      <c r="B5">
        <v>10</v>
      </c>
      <c r="C5">
        <v>15</v>
      </c>
    </row>
    <row r="6" spans="1:3">
      <c r="A6">
        <v>6</v>
      </c>
      <c r="B6">
        <v>12</v>
      </c>
      <c r="C6">
        <v>18</v>
      </c>
    </row>
    <row r="7" spans="1:3">
      <c r="A7">
        <v>7</v>
      </c>
      <c r="B7">
        <v>14</v>
      </c>
      <c r="C7">
        <v>21</v>
      </c>
    </row>
  </sheetData>
  <phoneticPr fontId="5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6"/>
  <sheetViews>
    <sheetView workbookViewId="0"/>
  </sheetViews>
  <sheetFormatPr baseColWidth="10" defaultColWidth="8.83203125" defaultRowHeight="14"/>
  <cols>
    <col min="1" max="1" width="8" customWidth="1"/>
    <col min="2" max="3" width="10" customWidth="1"/>
    <col min="4" max="4" width="22" customWidth="1"/>
    <col min="5" max="5" width="10" customWidth="1"/>
    <col min="6" max="7" width="22" customWidth="1"/>
    <col min="8" max="8" width="60" customWidth="1"/>
    <col min="9" max="9" width="55" customWidth="1"/>
    <col min="10" max="10" width="70" customWidth="1"/>
  </cols>
  <sheetData>
    <row r="1" spans="1:10" ht="15">
      <c r="A1" s="8" t="s">
        <v>82</v>
      </c>
      <c r="B1" s="8" t="s">
        <v>102</v>
      </c>
      <c r="C1" s="8" t="s">
        <v>103</v>
      </c>
      <c r="D1" s="8" t="s">
        <v>104</v>
      </c>
      <c r="E1" s="8" t="s">
        <v>105</v>
      </c>
      <c r="F1" s="8" t="s">
        <v>106</v>
      </c>
      <c r="G1" s="8" t="s">
        <v>107</v>
      </c>
      <c r="H1" s="8" t="s">
        <v>108</v>
      </c>
      <c r="I1" s="8" t="s">
        <v>109</v>
      </c>
      <c r="J1" s="8" t="s">
        <v>110</v>
      </c>
    </row>
    <row r="2" spans="1:10" ht="75">
      <c r="A2" s="2">
        <v>1</v>
      </c>
      <c r="B2" s="2" t="s">
        <v>111</v>
      </c>
      <c r="C2" s="2" t="s">
        <v>112</v>
      </c>
      <c r="D2" s="2" t="s">
        <v>113</v>
      </c>
      <c r="E2" s="2" t="s">
        <v>114</v>
      </c>
      <c r="F2" s="2">
        <v>120000</v>
      </c>
      <c r="G2" s="2" t="s">
        <v>115</v>
      </c>
      <c r="H2" s="2" t="s">
        <v>116</v>
      </c>
      <c r="I2" s="2" t="s">
        <v>117</v>
      </c>
      <c r="J2" s="2" t="s">
        <v>118</v>
      </c>
    </row>
    <row r="3" spans="1:10" ht="75">
      <c r="A3" s="2">
        <v>2</v>
      </c>
      <c r="B3" s="2" t="s">
        <v>119</v>
      </c>
      <c r="C3" s="2" t="s">
        <v>112</v>
      </c>
      <c r="D3" s="2" t="s">
        <v>113</v>
      </c>
      <c r="E3" s="2" t="s">
        <v>120</v>
      </c>
      <c r="F3" s="2">
        <v>92000</v>
      </c>
      <c r="G3" s="2" t="s">
        <v>121</v>
      </c>
      <c r="H3" s="2" t="s">
        <v>122</v>
      </c>
      <c r="I3" s="2" t="s">
        <v>123</v>
      </c>
      <c r="J3" s="2" t="s">
        <v>124</v>
      </c>
    </row>
    <row r="4" spans="1:10" ht="75">
      <c r="A4" s="2">
        <v>3</v>
      </c>
      <c r="B4" s="2" t="s">
        <v>125</v>
      </c>
      <c r="C4" s="2" t="s">
        <v>112</v>
      </c>
      <c r="D4" s="2" t="s">
        <v>113</v>
      </c>
      <c r="E4" s="2" t="s">
        <v>126</v>
      </c>
      <c r="F4" s="2"/>
      <c r="G4" s="2" t="s">
        <v>127</v>
      </c>
      <c r="H4" s="2" t="s">
        <v>128</v>
      </c>
      <c r="I4" s="2" t="s">
        <v>129</v>
      </c>
      <c r="J4" s="2" t="s">
        <v>130</v>
      </c>
    </row>
    <row r="5" spans="1:10" ht="75">
      <c r="A5" s="2">
        <v>4</v>
      </c>
      <c r="B5" s="2" t="s">
        <v>131</v>
      </c>
      <c r="C5" s="2" t="s">
        <v>112</v>
      </c>
      <c r="D5" s="2" t="s">
        <v>113</v>
      </c>
      <c r="E5" s="2" t="s">
        <v>132</v>
      </c>
      <c r="F5" s="9">
        <v>46305</v>
      </c>
      <c r="G5" s="2" t="s">
        <v>115</v>
      </c>
      <c r="H5" s="2" t="s">
        <v>133</v>
      </c>
      <c r="I5" s="2" t="s">
        <v>134</v>
      </c>
      <c r="J5" s="2" t="s">
        <v>135</v>
      </c>
    </row>
    <row r="6" spans="1:10" ht="120">
      <c r="A6" s="2">
        <v>5</v>
      </c>
      <c r="B6" s="2" t="s">
        <v>136</v>
      </c>
      <c r="C6" s="2" t="s">
        <v>112</v>
      </c>
      <c r="D6" s="2" t="s">
        <v>113</v>
      </c>
      <c r="E6" s="2" t="s">
        <v>137</v>
      </c>
      <c r="F6" s="2" t="s">
        <v>32</v>
      </c>
      <c r="G6" s="2" t="s">
        <v>138</v>
      </c>
      <c r="H6" s="2" t="s">
        <v>139</v>
      </c>
      <c r="I6" s="2" t="s">
        <v>140</v>
      </c>
      <c r="J6" s="2" t="s">
        <v>141</v>
      </c>
    </row>
    <row r="7" spans="1:10" ht="75">
      <c r="A7" s="2">
        <v>6</v>
      </c>
      <c r="B7" s="2" t="s">
        <v>142</v>
      </c>
      <c r="C7" s="2" t="s">
        <v>143</v>
      </c>
      <c r="D7" s="2" t="s">
        <v>144</v>
      </c>
      <c r="E7" s="2" t="s">
        <v>145</v>
      </c>
      <c r="F7" s="2" t="s">
        <v>41</v>
      </c>
      <c r="G7" s="2" t="s">
        <v>146</v>
      </c>
      <c r="H7" s="2" t="s">
        <v>147</v>
      </c>
      <c r="I7" s="2" t="s">
        <v>148</v>
      </c>
      <c r="J7" s="2" t="s">
        <v>149</v>
      </c>
    </row>
    <row r="8" spans="1:10" ht="75">
      <c r="A8" s="2">
        <v>7</v>
      </c>
      <c r="B8" s="2" t="s">
        <v>150</v>
      </c>
      <c r="C8" s="2" t="s">
        <v>143</v>
      </c>
      <c r="D8" s="2" t="s">
        <v>144</v>
      </c>
      <c r="E8" s="2" t="s">
        <v>114</v>
      </c>
      <c r="F8" s="2" t="s">
        <v>44</v>
      </c>
      <c r="G8" s="2" t="s">
        <v>151</v>
      </c>
      <c r="H8" s="2" t="s">
        <v>152</v>
      </c>
      <c r="I8" s="2" t="s">
        <v>153</v>
      </c>
      <c r="J8" s="2" t="s">
        <v>154</v>
      </c>
    </row>
    <row r="9" spans="1:10" ht="75">
      <c r="A9" s="2">
        <v>8</v>
      </c>
      <c r="B9" s="2" t="s">
        <v>155</v>
      </c>
      <c r="C9" s="2" t="s">
        <v>143</v>
      </c>
      <c r="D9" s="2" t="s">
        <v>144</v>
      </c>
      <c r="E9" s="2" t="s">
        <v>156</v>
      </c>
      <c r="F9" s="2" t="s">
        <v>47</v>
      </c>
      <c r="G9" s="2" t="s">
        <v>157</v>
      </c>
      <c r="H9" s="2" t="s">
        <v>158</v>
      </c>
      <c r="I9" s="2" t="s">
        <v>159</v>
      </c>
      <c r="J9" s="2" t="s">
        <v>160</v>
      </c>
    </row>
    <row r="10" spans="1:10" ht="75">
      <c r="A10" s="2">
        <v>9</v>
      </c>
      <c r="B10" s="2" t="s">
        <v>161</v>
      </c>
      <c r="C10" s="2" t="s">
        <v>143</v>
      </c>
      <c r="D10" s="2" t="s">
        <v>144</v>
      </c>
      <c r="E10" s="2" t="s">
        <v>162</v>
      </c>
      <c r="F10" s="2" t="s">
        <v>50</v>
      </c>
      <c r="G10" s="2" t="s">
        <v>163</v>
      </c>
      <c r="H10" s="2" t="s">
        <v>164</v>
      </c>
      <c r="I10" s="2" t="s">
        <v>165</v>
      </c>
      <c r="J10" s="2" t="s">
        <v>166</v>
      </c>
    </row>
    <row r="11" spans="1:10" ht="210">
      <c r="A11" s="2">
        <v>10</v>
      </c>
      <c r="B11" s="2" t="s">
        <v>167</v>
      </c>
      <c r="C11" s="2" t="s">
        <v>143</v>
      </c>
      <c r="D11" s="2" t="s">
        <v>144</v>
      </c>
      <c r="E11" s="2" t="s">
        <v>168</v>
      </c>
      <c r="F11" s="2" t="s">
        <v>53</v>
      </c>
      <c r="G11" s="2" t="s">
        <v>169</v>
      </c>
      <c r="H11" s="2" t="s">
        <v>170</v>
      </c>
      <c r="I11" s="2" t="s">
        <v>171</v>
      </c>
      <c r="J11" s="2" t="s">
        <v>172</v>
      </c>
    </row>
    <row r="12" spans="1:10" ht="75">
      <c r="A12" s="2">
        <v>11</v>
      </c>
      <c r="B12" s="2" t="s">
        <v>173</v>
      </c>
      <c r="C12" s="2" t="s">
        <v>112</v>
      </c>
      <c r="D12" s="2" t="s">
        <v>174</v>
      </c>
      <c r="E12" s="2" t="s">
        <v>145</v>
      </c>
      <c r="F12" s="2"/>
      <c r="G12" s="2" t="s">
        <v>175</v>
      </c>
      <c r="H12" s="2" t="s">
        <v>176</v>
      </c>
      <c r="I12" s="2" t="s">
        <v>177</v>
      </c>
      <c r="J12" s="2" t="s">
        <v>178</v>
      </c>
    </row>
    <row r="13" spans="1:10" ht="75">
      <c r="A13" s="2">
        <v>12</v>
      </c>
      <c r="B13" s="2" t="s">
        <v>179</v>
      </c>
      <c r="C13" s="2" t="s">
        <v>112</v>
      </c>
      <c r="D13" s="2" t="s">
        <v>174</v>
      </c>
      <c r="E13" s="2" t="s">
        <v>156</v>
      </c>
      <c r="F13" s="2" t="s">
        <v>60</v>
      </c>
      <c r="G13" s="2" t="s">
        <v>180</v>
      </c>
      <c r="H13" s="2" t="s">
        <v>181</v>
      </c>
      <c r="I13" s="2" t="s">
        <v>182</v>
      </c>
      <c r="J13" s="2" t="s">
        <v>183</v>
      </c>
    </row>
    <row r="14" spans="1:10" ht="75">
      <c r="A14" s="2">
        <v>13</v>
      </c>
      <c r="B14" s="2" t="s">
        <v>184</v>
      </c>
      <c r="C14" s="2" t="s">
        <v>112</v>
      </c>
      <c r="D14" s="2" t="s">
        <v>174</v>
      </c>
      <c r="E14" s="2" t="s">
        <v>185</v>
      </c>
      <c r="F14" s="2" t="e">
        <f>B6+C6</f>
        <v>#VALUE!</v>
      </c>
      <c r="G14" s="2" t="s">
        <v>186</v>
      </c>
      <c r="H14" s="2" t="s">
        <v>187</v>
      </c>
      <c r="I14" s="2" t="s">
        <v>188</v>
      </c>
      <c r="J14" s="2" t="s">
        <v>189</v>
      </c>
    </row>
    <row r="15" spans="1:10" ht="75">
      <c r="A15" s="2">
        <v>14</v>
      </c>
      <c r="B15" s="2" t="s">
        <v>190</v>
      </c>
      <c r="C15" s="2" t="s">
        <v>112</v>
      </c>
      <c r="D15" s="2" t="s">
        <v>191</v>
      </c>
      <c r="E15" s="2" t="s">
        <v>145</v>
      </c>
      <c r="F15" s="2">
        <v>12345</v>
      </c>
      <c r="G15" s="2" t="s">
        <v>192</v>
      </c>
      <c r="H15" s="2" t="s">
        <v>193</v>
      </c>
      <c r="I15" s="2" t="s">
        <v>194</v>
      </c>
      <c r="J15" s="2" t="s">
        <v>195</v>
      </c>
    </row>
    <row r="16" spans="1:10" ht="75">
      <c r="A16" s="2">
        <v>15</v>
      </c>
      <c r="B16" s="2" t="s">
        <v>196</v>
      </c>
      <c r="C16" s="2" t="s">
        <v>112</v>
      </c>
      <c r="D16" s="2" t="s">
        <v>191</v>
      </c>
      <c r="E16" s="2" t="s">
        <v>156</v>
      </c>
      <c r="F16" s="2"/>
      <c r="G16" s="2" t="s">
        <v>197</v>
      </c>
      <c r="H16" s="2" t="s">
        <v>198</v>
      </c>
      <c r="I16" s="2" t="s">
        <v>199</v>
      </c>
      <c r="J16" s="2" t="s">
        <v>200</v>
      </c>
    </row>
    <row r="17" spans="1:10" ht="75">
      <c r="A17" s="2">
        <v>16</v>
      </c>
      <c r="B17" s="2" t="s">
        <v>201</v>
      </c>
      <c r="C17" s="2" t="s">
        <v>112</v>
      </c>
      <c r="D17" s="2" t="s">
        <v>202</v>
      </c>
      <c r="E17" s="2" t="s">
        <v>203</v>
      </c>
      <c r="F17" s="2" t="s">
        <v>70</v>
      </c>
      <c r="G17" s="2" t="s">
        <v>204</v>
      </c>
      <c r="H17" s="2" t="s">
        <v>205</v>
      </c>
      <c r="I17" s="2" t="s">
        <v>206</v>
      </c>
      <c r="J17" s="2" t="s">
        <v>207</v>
      </c>
    </row>
    <row r="18" spans="1:10" ht="75">
      <c r="A18" s="2">
        <v>17</v>
      </c>
      <c r="B18" s="2" t="s">
        <v>208</v>
      </c>
      <c r="C18" s="2" t="s">
        <v>112</v>
      </c>
      <c r="D18" s="2" t="s">
        <v>202</v>
      </c>
      <c r="E18" s="2" t="s">
        <v>209</v>
      </c>
      <c r="F18" s="2" t="e">
        <f>B7*2</f>
        <v>#VALUE!</v>
      </c>
      <c r="G18" s="2" t="s">
        <v>210</v>
      </c>
      <c r="H18" s="2" t="s">
        <v>211</v>
      </c>
      <c r="I18" s="2" t="s">
        <v>212</v>
      </c>
      <c r="J18" s="2" t="s">
        <v>213</v>
      </c>
    </row>
    <row r="19" spans="1:10" ht="75">
      <c r="A19" s="2">
        <v>18</v>
      </c>
      <c r="B19" s="2" t="s">
        <v>214</v>
      </c>
      <c r="C19" s="2" t="s">
        <v>112</v>
      </c>
      <c r="D19" s="2" t="s">
        <v>202</v>
      </c>
      <c r="E19" s="2" t="s">
        <v>215</v>
      </c>
      <c r="F19" s="2" t="s">
        <v>77</v>
      </c>
      <c r="G19" s="2" t="s">
        <v>216</v>
      </c>
      <c r="H19" s="2" t="s">
        <v>217</v>
      </c>
      <c r="I19" s="2" t="s">
        <v>218</v>
      </c>
      <c r="J19" s="2" t="s">
        <v>219</v>
      </c>
    </row>
    <row r="20" spans="1:10" ht="75">
      <c r="A20" s="2">
        <v>19</v>
      </c>
      <c r="B20" s="2" t="s">
        <v>220</v>
      </c>
      <c r="C20" s="2" t="s">
        <v>112</v>
      </c>
      <c r="D20" s="2" t="s">
        <v>221</v>
      </c>
      <c r="E20" s="2" t="s">
        <v>222</v>
      </c>
      <c r="F20" s="2">
        <v>100</v>
      </c>
      <c r="G20" s="2" t="s">
        <v>223</v>
      </c>
      <c r="H20" s="2" t="s">
        <v>224</v>
      </c>
      <c r="I20" s="2" t="s">
        <v>225</v>
      </c>
      <c r="J20" s="2" t="s">
        <v>226</v>
      </c>
    </row>
    <row r="21" spans="1:10" ht="75">
      <c r="A21" s="2">
        <v>20</v>
      </c>
      <c r="B21" s="2" t="s">
        <v>227</v>
      </c>
      <c r="C21" s="2" t="s">
        <v>112</v>
      </c>
      <c r="D21" s="2" t="s">
        <v>221</v>
      </c>
      <c r="E21" s="2" t="s">
        <v>228</v>
      </c>
      <c r="F21" s="2">
        <v>200</v>
      </c>
      <c r="G21" s="2" t="s">
        <v>229</v>
      </c>
      <c r="H21" s="2" t="s">
        <v>230</v>
      </c>
      <c r="I21" s="2" t="s">
        <v>231</v>
      </c>
      <c r="J21" s="2" t="s">
        <v>232</v>
      </c>
    </row>
    <row r="22" spans="1:10" ht="75">
      <c r="A22" s="2">
        <v>21</v>
      </c>
      <c r="B22" s="2" t="s">
        <v>233</v>
      </c>
      <c r="C22" s="2" t="s">
        <v>112</v>
      </c>
      <c r="D22" s="2" t="s">
        <v>221</v>
      </c>
      <c r="E22" s="2" t="s">
        <v>120</v>
      </c>
      <c r="F22" s="2">
        <v>300</v>
      </c>
      <c r="G22" s="2" t="s">
        <v>234</v>
      </c>
      <c r="H22" s="2" t="s">
        <v>235</v>
      </c>
      <c r="I22" s="2" t="s">
        <v>236</v>
      </c>
      <c r="J22" s="2" t="s">
        <v>237</v>
      </c>
    </row>
    <row r="23" spans="1:10" ht="75">
      <c r="A23" s="2">
        <v>22</v>
      </c>
      <c r="B23" s="2" t="s">
        <v>238</v>
      </c>
      <c r="C23" s="2" t="s">
        <v>112</v>
      </c>
      <c r="D23" s="2" t="s">
        <v>221</v>
      </c>
      <c r="E23" s="2" t="s">
        <v>239</v>
      </c>
      <c r="F23" s="2">
        <v>500</v>
      </c>
      <c r="G23" s="2" t="s">
        <v>240</v>
      </c>
      <c r="H23" s="2" t="s">
        <v>241</v>
      </c>
      <c r="I23" s="2" t="s">
        <v>242</v>
      </c>
      <c r="J23" s="2" t="s">
        <v>243</v>
      </c>
    </row>
    <row r="24" spans="1:10" ht="75">
      <c r="A24" s="2">
        <v>23</v>
      </c>
      <c r="B24" s="2" t="s">
        <v>244</v>
      </c>
      <c r="C24" s="2" t="s">
        <v>112</v>
      </c>
      <c r="D24" s="2" t="s">
        <v>221</v>
      </c>
      <c r="E24" s="2" t="s">
        <v>245</v>
      </c>
      <c r="F24" s="2">
        <v>800</v>
      </c>
      <c r="G24" s="2" t="s">
        <v>246</v>
      </c>
      <c r="H24" s="2" t="s">
        <v>247</v>
      </c>
      <c r="I24" s="2" t="s">
        <v>248</v>
      </c>
      <c r="J24" s="2" t="s">
        <v>249</v>
      </c>
    </row>
    <row r="25" spans="1:10" ht="75">
      <c r="A25" s="2">
        <v>24</v>
      </c>
      <c r="B25" s="2" t="s">
        <v>250</v>
      </c>
      <c r="C25" s="2" t="s">
        <v>112</v>
      </c>
      <c r="D25" s="2" t="s">
        <v>221</v>
      </c>
      <c r="E25" s="2" t="s">
        <v>251</v>
      </c>
      <c r="F25" s="2">
        <v>1300</v>
      </c>
      <c r="G25" s="2" t="s">
        <v>252</v>
      </c>
      <c r="H25" s="2" t="s">
        <v>253</v>
      </c>
      <c r="I25" s="2" t="s">
        <v>254</v>
      </c>
      <c r="J25" s="2" t="s">
        <v>255</v>
      </c>
    </row>
    <row r="26" spans="1:10" ht="75">
      <c r="A26" s="2">
        <v>25</v>
      </c>
      <c r="B26" s="2" t="s">
        <v>256</v>
      </c>
      <c r="C26" s="2" t="s">
        <v>112</v>
      </c>
      <c r="D26" s="2" t="s">
        <v>221</v>
      </c>
      <c r="E26" s="2" t="s">
        <v>257</v>
      </c>
      <c r="F26" s="2">
        <v>1500</v>
      </c>
      <c r="G26" s="2" t="s">
        <v>258</v>
      </c>
      <c r="H26" s="2" t="s">
        <v>259</v>
      </c>
      <c r="I26" s="2" t="s">
        <v>260</v>
      </c>
      <c r="J26" s="2" t="s">
        <v>261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README_测试说明</vt:lpstr>
      <vt:lpstr>财务复核</vt:lpstr>
      <vt:lpstr>注释与特殊字符</vt:lpstr>
      <vt:lpstr>空单元格与合并</vt:lpstr>
      <vt:lpstr>隐藏复核数据</vt:lpstr>
      <vt:lpstr>Sheet With Space</vt:lpstr>
      <vt:lpstr>批量批注</vt:lpstr>
      <vt:lpstr>无批注Sheet</vt:lpstr>
      <vt:lpstr>标准答案_勿用于抽取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Review Assistant V1 Comprehensive Test</dc:title>
  <dc:subject>Comment/Note extraction and write-back validation</dc:subject>
  <dc:creator>OpenAI</dc:creator>
  <cp:lastModifiedBy>审阅人</cp:lastModifiedBy>
  <dcterms:created xsi:type="dcterms:W3CDTF">2026-10-13T05:59:18Z</dcterms:created>
  <dcterms:modified xsi:type="dcterms:W3CDTF">2026-10-13T06:00:42Z</dcterms:modified>
</cp:coreProperties>
</file>