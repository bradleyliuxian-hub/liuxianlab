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与预期" sheetId="1" state="visible" r:id="rId3"/>
    <sheet name="横向公式链" sheetId="2" state="visible" r:id="rId4"/>
    <sheet name="纵向公式链" sheetId="3" state="visible" r:id="rId5"/>
    <sheet name="豁免与降权" sheetId="4" state="visible" r:id="rId6"/>
    <sheet name="复杂公式" sheetId="5" state="visible" r:id="rId7"/>
    <sheet name="财务模型" sheetId="6" state="visible" r:id="rId8"/>
    <sheet name="参数 表" sheetId="7" state="visible" r:id="rId9"/>
    <sheet name="布局边界" sheetId="8" state="visible" r:id="rId10"/>
    <sheet name="模式陷阱" sheetId="9" state="visible" r:id="rId11"/>
    <sheet name="大区域性能" sheetId="10" state="visible" r:id="rId12"/>
  </sheets>
  <definedNames>
    <definedName function="false" hidden="true" localSheetId="0" name="_xlnm._FilterDatabase" vbProcedure="false">说明与预期!$A$1:$H$8</definedName>
    <definedName function="false" hidden="false" name="TaxRate" vbProcedure="false">'参数 表'!$B$6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1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</t>
        </r>
        <r>
          <rPr>
            <sz val="10"/>
            <rFont val="Noto Sans CJK SC"/>
            <family val="2"/>
          </rPr>
          <t xml:space="preserve">重复使用 </t>
        </r>
        <r>
          <rPr>
            <sz val="10"/>
            <rFont val="Arial"/>
            <family val="2"/>
          </rPr>
          <t xml:space="preserve">1.13</t>
        </r>
        <r>
          <rPr>
            <sz val="10"/>
            <rFont val="Noto Sans CJK SC"/>
            <family val="2"/>
          </rPr>
          <t xml:space="preserve">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HC201
</t>
        </r>
        <r>
          <rPr>
            <sz val="10"/>
            <rFont val="Noto Sans CJK SC"/>
            <family val="2"/>
          </rPr>
          <t xml:space="preserve">无邻居结构证据，</t>
        </r>
        <r>
          <rPr>
            <sz val="10"/>
            <rFont val="Arial"/>
            <family val="2"/>
          </rPr>
          <t xml:space="preserve">+300 </t>
        </r>
        <r>
          <rPr>
            <sz val="10"/>
            <rFont val="Noto Sans CJK SC"/>
            <family val="2"/>
          </rPr>
          <t xml:space="preserve">仅提示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HC202
5% </t>
        </r>
        <r>
          <rPr>
            <sz val="10"/>
            <rFont val="Noto Sans CJK SC"/>
            <family val="2"/>
          </rPr>
          <t xml:space="preserve">不应自动豁免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HC203
/12 </t>
        </r>
        <r>
          <rPr>
            <sz val="10"/>
            <rFont val="Noto Sans CJK SC"/>
            <family val="2"/>
          </rPr>
          <t xml:space="preserve">单独只提示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HC204
/1000 </t>
        </r>
        <r>
          <rPr>
            <sz val="10"/>
            <rFont val="Noto Sans CJK SC"/>
            <family val="2"/>
          </rPr>
          <t xml:space="preserve">单独只提示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</t>
        </r>
        <r>
          <rPr>
            <sz val="10"/>
            <rFont val="Noto Sans CJK SC"/>
            <family val="2"/>
          </rPr>
          <t xml:space="preserve">重复使用 </t>
        </r>
        <r>
          <rPr>
            <sz val="10"/>
            <rFont val="Arial"/>
            <family val="2"/>
          </rPr>
          <t xml:space="preserve">1.13</t>
        </r>
        <r>
          <rPr>
            <sz val="10"/>
            <rFont val="Noto Sans CJK SC"/>
            <family val="2"/>
          </rPr>
          <t xml:space="preserve">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SUSPICIOUS / HC102
</t>
        </r>
        <r>
          <rPr>
            <sz val="10"/>
            <rFont val="Noto Sans CJK SC"/>
            <family val="2"/>
          </rPr>
          <t xml:space="preserve">大多数为 </t>
        </r>
        <r>
          <rPr>
            <sz val="10"/>
            <rFont val="Arial"/>
            <family val="2"/>
          </rPr>
          <t xml:space="preserve">1.10</t>
        </r>
        <r>
          <rPr>
            <sz val="10"/>
            <rFont val="Noto Sans CJK SC"/>
            <family val="2"/>
          </rPr>
          <t xml:space="preserve">，当前为 </t>
        </r>
        <r>
          <rPr>
            <sz val="10"/>
            <rFont val="Arial"/>
            <family val="2"/>
          </rPr>
          <t xml:space="preserve">1.15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</t>
        </r>
        <r>
          <rPr>
            <sz val="10"/>
            <rFont val="Noto Sans CJK SC"/>
            <family val="2"/>
          </rPr>
          <t xml:space="preserve">重复使用 </t>
        </r>
        <r>
          <rPr>
            <sz val="10"/>
            <rFont val="Arial"/>
            <family val="2"/>
          </rPr>
          <t xml:space="preserve">1.13</t>
        </r>
        <r>
          <rPr>
            <sz val="10"/>
            <rFont val="Noto Sans CJK SC"/>
            <family val="2"/>
          </rPr>
          <t xml:space="preserve">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HC001
</t>
        </r>
        <r>
          <rPr>
            <sz val="10"/>
            <rFont val="Noto Sans CJK SC"/>
            <family val="2"/>
          </rPr>
          <t xml:space="preserve">左右均为同一相对公式模式，中间为数值 </t>
        </r>
        <r>
          <rPr>
            <sz val="10"/>
            <rFont val="Arial"/>
            <family val="2"/>
          </rPr>
          <t xml:space="preserve">1250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</t>
        </r>
        <r>
          <rPr>
            <sz val="10"/>
            <rFont val="Noto Sans CJK SC"/>
            <family val="2"/>
          </rPr>
          <t xml:space="preserve">重复使用 </t>
        </r>
        <r>
          <rPr>
            <sz val="10"/>
            <rFont val="Arial"/>
            <family val="2"/>
          </rPr>
          <t xml:space="preserve">1.13</t>
        </r>
        <r>
          <rPr>
            <sz val="10"/>
            <rFont val="Noto Sans CJK SC"/>
            <family val="2"/>
          </rPr>
          <t xml:space="preserve">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HC003
</t>
        </r>
        <r>
          <rPr>
            <sz val="10"/>
            <rFont val="Noto Sans CJK SC"/>
            <family val="2"/>
          </rPr>
          <t xml:space="preserve">稳定公式模式中额外 </t>
        </r>
        <r>
          <rPr>
            <sz val="10"/>
            <rFont val="Arial"/>
            <family val="2"/>
          </rPr>
          <t xml:space="preserve">+100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</t>
        </r>
        <r>
          <rPr>
            <sz val="10"/>
            <rFont val="Noto Sans CJK SC"/>
            <family val="2"/>
          </rPr>
          <t xml:space="preserve">重复使用 </t>
        </r>
        <r>
          <rPr>
            <sz val="10"/>
            <rFont val="Arial"/>
            <family val="2"/>
          </rPr>
          <t xml:space="preserve">1.13</t>
        </r>
        <r>
          <rPr>
            <sz val="10"/>
            <rFont val="Noto Sans CJK SC"/>
            <family val="2"/>
          </rPr>
          <t xml:space="preserve">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HC002
</t>
        </r>
        <r>
          <rPr>
            <sz val="10"/>
            <rFont val="Noto Sans CJK SC"/>
            <family val="2"/>
          </rPr>
          <t xml:space="preserve">其他月份引用本列税率输入，当前直接写死 </t>
        </r>
        <r>
          <rPr>
            <sz val="10"/>
            <rFont val="Arial"/>
            <family val="2"/>
          </rPr>
          <t xml:space="preserve">0.15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</t>
        </r>
        <r>
          <rPr>
            <sz val="10"/>
            <rFont val="Noto Sans CJK SC"/>
            <family val="2"/>
          </rPr>
          <t xml:space="preserve">重复使用 </t>
        </r>
        <r>
          <rPr>
            <sz val="10"/>
            <rFont val="Arial"/>
            <family val="2"/>
          </rPr>
          <t xml:space="preserve">1.13</t>
        </r>
        <r>
          <rPr>
            <sz val="10"/>
            <rFont val="Noto Sans CJK SC"/>
            <family val="2"/>
          </rPr>
          <t xml:space="preserve">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</t>
        </r>
        <r>
          <rPr>
            <sz val="10"/>
            <rFont val="Noto Sans CJK SC"/>
            <family val="2"/>
          </rPr>
          <t xml:space="preserve">重复使用 </t>
        </r>
        <r>
          <rPr>
            <sz val="10"/>
            <rFont val="Arial"/>
            <family val="2"/>
          </rPr>
          <t xml:space="preserve">1.13</t>
        </r>
        <r>
          <rPr>
            <sz val="10"/>
            <rFont val="Noto Sans CJK SC"/>
            <family val="2"/>
          </rPr>
          <t xml:space="preserve">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</t>
        </r>
        <r>
          <rPr>
            <sz val="10"/>
            <rFont val="Noto Sans CJK SC"/>
            <family val="2"/>
          </rPr>
          <t xml:space="preserve">重复使用 </t>
        </r>
        <r>
          <rPr>
            <sz val="10"/>
            <rFont val="Arial"/>
            <family val="2"/>
          </rPr>
          <t xml:space="preserve">1.13</t>
        </r>
        <r>
          <rPr>
            <sz val="10"/>
            <rFont val="Noto Sans CJK SC"/>
            <family val="2"/>
          </rPr>
          <t xml:space="preserve">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D9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HC001
0 </t>
        </r>
        <r>
          <rPr>
            <sz val="10"/>
            <rFont val="Noto Sans CJK SC"/>
            <family val="2"/>
          </rPr>
          <t xml:space="preserve">不能全局忽略；上下相对公式一致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HC001
</t>
        </r>
        <r>
          <rPr>
            <sz val="10"/>
            <rFont val="Noto Sans CJK SC"/>
            <family val="2"/>
          </rPr>
          <t xml:space="preserve">固定负数打断公式链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SUSPICIOUS / HC103
</t>
        </r>
        <r>
          <rPr>
            <sz val="10"/>
            <rFont val="Noto Sans CJK SC"/>
            <family val="2"/>
          </rPr>
          <t xml:space="preserve">位于序列末端，只能从上方获得公式模式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1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HC202
1.13 </t>
        </r>
        <r>
          <rPr>
            <sz val="10"/>
            <rFont val="Noto Sans CJK SC"/>
            <family val="2"/>
          </rPr>
          <t xml:space="preserve">应识别；</t>
        </r>
        <r>
          <rPr>
            <sz val="10"/>
            <rFont val="Arial"/>
            <family val="2"/>
          </rPr>
          <t xml:space="preserve">ROUND </t>
        </r>
        <r>
          <rPr>
            <sz val="10"/>
            <rFont val="Noto Sans CJK SC"/>
            <family val="2"/>
          </rPr>
          <t xml:space="preserve">的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应忽略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57</xdr:rowOff>
              </xdr:from>
              <xdr:to>
                <xdr:col>1</xdr:col>
                <xdr:colOff>16</xdr:colOff>
                <xdr:row>9</xdr:row>
                <xdr:rowOff>4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D5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HC201
1.2 </t>
        </r>
        <r>
          <rPr>
            <sz val="10"/>
            <rFont val="Noto Sans CJK SC"/>
            <family val="2"/>
          </rPr>
          <t xml:space="preserve">是业务常量；比较无额外数字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HC201
1000 </t>
        </r>
        <r>
          <rPr>
            <sz val="10"/>
            <rFont val="Noto Sans CJK SC"/>
            <family val="2"/>
          </rPr>
          <t xml:space="preserve">是比较阈值，属于业务常量候选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HC202
0.85 </t>
        </r>
        <r>
          <rPr>
            <sz val="10"/>
            <rFont val="Noto Sans CJK SC"/>
            <family val="2"/>
          </rPr>
          <t xml:space="preserve">提示；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豁免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HC201
+500 </t>
        </r>
        <r>
          <rPr>
            <sz val="10"/>
            <rFont val="Noto Sans CJK SC"/>
            <family val="2"/>
          </rPr>
          <t xml:space="preserve">为业务常量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HC201
100 </t>
        </r>
        <r>
          <rPr>
            <sz val="10"/>
            <rFont val="Noto Sans CJK SC"/>
            <family val="2"/>
          </rPr>
          <t xml:space="preserve">可能是业务 </t>
        </r>
        <r>
          <rPr>
            <sz val="10"/>
            <rFont val="Arial"/>
            <family val="2"/>
          </rPr>
          <t xml:space="preserve">cap</t>
        </r>
        <r>
          <rPr>
            <sz val="10"/>
            <rFont val="Noto Sans CJK SC"/>
            <family val="2"/>
          </rPr>
          <t xml:space="preserve">，不应当作控制参数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HC201
^2 </t>
        </r>
        <r>
          <rPr>
            <sz val="10"/>
            <rFont val="Noto Sans CJK SC"/>
            <family val="2"/>
          </rPr>
          <t xml:space="preserve">直接参与算术，应提示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HC202
5% </t>
        </r>
        <r>
          <rPr>
            <sz val="10"/>
            <rFont val="Noto Sans CJK SC"/>
            <family val="2"/>
          </rPr>
          <t xml:space="preserve">业务硬编码；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逻辑豁免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12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0.20 </t>
        </r>
        <r>
          <rPr>
            <sz val="10"/>
            <rFont val="Noto Sans CJK SC"/>
            <family val="2"/>
          </rPr>
          <t xml:space="preserve">全行重复，建议参数化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0.20 </t>
        </r>
        <r>
          <rPr>
            <sz val="10"/>
            <rFont val="Noto Sans CJK SC"/>
            <family val="2"/>
          </rPr>
          <t xml:space="preserve">全行重复，建议参数化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0.20 </t>
        </r>
        <r>
          <rPr>
            <sz val="10"/>
            <rFont val="Noto Sans CJK SC"/>
            <family val="2"/>
          </rPr>
          <t xml:space="preserve">全行重复，建议参数化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HC003
</t>
        </r>
        <r>
          <rPr>
            <sz val="10"/>
            <rFont val="Noto Sans CJK SC"/>
            <family val="2"/>
          </rPr>
          <t xml:space="preserve">稳定公式链中额外 </t>
        </r>
        <r>
          <rPr>
            <sz val="10"/>
            <rFont val="Arial"/>
            <family val="2"/>
          </rPr>
          <t xml:space="preserve">-250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HC002
</t>
        </r>
        <r>
          <rPr>
            <sz val="10"/>
            <rFont val="Noto Sans CJK SC"/>
            <family val="2"/>
          </rPr>
          <t xml:space="preserve">其他年份引用本列 </t>
        </r>
        <r>
          <rPr>
            <sz val="10"/>
            <rFont val="Arial"/>
            <family val="2"/>
          </rPr>
          <t xml:space="preserve">Margin</t>
        </r>
        <r>
          <rPr>
            <sz val="10"/>
            <rFont val="Noto Sans CJK SC"/>
            <family val="2"/>
          </rPr>
          <t xml:space="preserve">，当前写死 </t>
        </r>
        <r>
          <rPr>
            <sz val="10"/>
            <rFont val="Arial"/>
            <family val="2"/>
          </rPr>
          <t xml:space="preserve">0.50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0.20 </t>
        </r>
        <r>
          <rPr>
            <sz val="10"/>
            <rFont val="Noto Sans CJK SC"/>
            <family val="2"/>
          </rPr>
          <t xml:space="preserve">全行重复，建议参数化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HC002
</t>
        </r>
        <r>
          <rPr>
            <sz val="10"/>
            <rFont val="Noto Sans CJK SC"/>
            <family val="2"/>
          </rPr>
          <t xml:space="preserve">其他年份使用 </t>
        </r>
        <r>
          <rPr>
            <sz val="10"/>
            <rFont val="Arial"/>
            <family val="2"/>
          </rPr>
          <t xml:space="preserve">TaxRate</t>
        </r>
        <r>
          <rPr>
            <sz val="10"/>
            <rFont val="Noto Sans CJK SC"/>
            <family val="2"/>
          </rPr>
          <t xml:space="preserve">，当前写死 </t>
        </r>
        <r>
          <rPr>
            <sz val="10"/>
            <rFont val="Arial"/>
            <family val="2"/>
          </rPr>
          <t xml:space="preserve">0.30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HARDCODE_NOTICE / HC205
0.20 </t>
        </r>
        <r>
          <rPr>
            <sz val="10"/>
            <rFont val="Noto Sans CJK SC"/>
            <family val="2"/>
          </rPr>
          <t xml:space="preserve">全行重复，建议参数化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HC002
</t>
        </r>
        <r>
          <rPr>
            <sz val="10"/>
            <rFont val="Noto Sans CJK SC"/>
            <family val="2"/>
          </rPr>
          <t xml:space="preserve">其他年份引用 参数 表</t>
        </r>
        <r>
          <rPr>
            <sz val="10"/>
            <rFont val="Arial"/>
            <family val="2"/>
          </rPr>
          <t xml:space="preserve">!$B$5</t>
        </r>
        <r>
          <rPr>
            <sz val="10"/>
            <rFont val="Noto Sans CJK SC"/>
            <family val="2"/>
          </rPr>
          <t xml:space="preserve">，当前写死 </t>
        </r>
        <r>
          <rPr>
            <sz val="10"/>
            <rFont val="Arial"/>
            <family val="2"/>
          </rPr>
          <t xml:space="preserve">7.5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D11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HC001
</t>
        </r>
        <r>
          <rPr>
            <sz val="10"/>
            <rFont val="Noto Sans CJK SC"/>
            <family val="2"/>
          </rPr>
          <t xml:space="preserve">隐藏列策略测试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SUSPICIOUS / HC101
3x3 </t>
        </r>
        <r>
          <rPr>
            <sz val="10"/>
            <rFont val="Noto Sans CJK SC"/>
            <family val="2"/>
          </rPr>
          <t xml:space="preserve">邻域公式占比很高但中心为数值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HC001
</t>
        </r>
        <r>
          <rPr>
            <sz val="10"/>
            <rFont val="Noto Sans CJK SC"/>
            <family val="2"/>
          </rPr>
          <t xml:space="preserve">隐藏行也应能被扫描（如产品决定不扫隐藏行，可作为明确策略）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H12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HC001
</t>
        </r>
        <r>
          <rPr>
            <sz val="10"/>
            <rFont val="Noto Sans CJK SC"/>
            <family val="2"/>
          </rPr>
          <t xml:space="preserve">上下左右均有稳定公式模式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M25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HC001
</t>
        </r>
        <r>
          <rPr>
            <sz val="10"/>
            <rFont val="Noto Sans CJK SC"/>
            <family val="2"/>
          </rPr>
          <t xml:space="preserve">上下左右均有稳定公式模式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Q18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HC003
</t>
        </r>
        <r>
          <rPr>
            <sz val="10"/>
            <rFont val="Noto Sans CJK SC"/>
            <family val="2"/>
          </rPr>
          <t xml:space="preserve">公式模式稳定，当前额外 </t>
        </r>
        <r>
          <rPr>
            <sz val="10"/>
            <rFont val="Arial"/>
            <family val="2"/>
          </rPr>
          <t xml:space="preserve">+500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T37" authorId="0">
      <text>
        <r>
          <rPr>
            <sz val="10"/>
            <rFont val="Noto Sans CJK SC"/>
            <family val="2"/>
          </rPr>
          <t xml:space="preserve">压力测试预期</t>
        </r>
        <r>
          <rPr>
            <sz val="10"/>
            <rFont val="Arial"/>
            <family val="2"/>
          </rPr>
          <t xml:space="preserve">: HIGH / HC001
</t>
        </r>
        <r>
          <rPr>
            <sz val="10"/>
            <rFont val="Noto Sans CJK SC"/>
            <family val="2"/>
          </rPr>
          <t xml:space="preserve">上下左右均有稳定公式模式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<sst xmlns="http://schemas.openxmlformats.org/spreadsheetml/2006/main" count="698" uniqueCount="351">
  <si>
    <r>
      <rPr>
        <b val="true"/>
        <sz val="18"/>
        <color rgb="FFFFFFFF"/>
        <rFont val="Cambria"/>
        <family val="0"/>
        <charset val="1"/>
      </rPr>
      <t xml:space="preserve">Excel </t>
    </r>
    <r>
      <rPr>
        <b val="true"/>
        <sz val="18"/>
        <color rgb="FFFFFFFF"/>
        <rFont val="Noto Sans CJK SC"/>
        <family val="2"/>
      </rPr>
      <t xml:space="preserve">死数检查器 </t>
    </r>
    <r>
      <rPr>
        <b val="true"/>
        <sz val="18"/>
        <color rgb="FFFFFFFF"/>
        <rFont val="Cambria"/>
        <family val="0"/>
        <charset val="1"/>
      </rPr>
      <t xml:space="preserve">- </t>
    </r>
    <r>
      <rPr>
        <b val="true"/>
        <sz val="18"/>
        <color rgb="FFFFFFFF"/>
        <rFont val="Noto Sans CJK SC"/>
        <family val="2"/>
      </rPr>
      <t xml:space="preserve">压力测试工作簿 </t>
    </r>
    <r>
      <rPr>
        <b val="true"/>
        <sz val="18"/>
        <color rgb="FFFFFFFF"/>
        <rFont val="Cambria"/>
        <family val="0"/>
        <charset val="1"/>
      </rPr>
      <t xml:space="preserve">v1</t>
    </r>
  </si>
  <si>
    <t xml:space="preserve">用途</t>
  </si>
  <si>
    <r>
      <rPr>
        <sz val="11"/>
        <color theme="1"/>
        <rFont val="Noto Sans CJK SC"/>
        <family val="2"/>
      </rPr>
      <t xml:space="preserve">用于验证 </t>
    </r>
    <r>
      <rPr>
        <sz val="11"/>
        <color theme="1"/>
        <rFont val="Calibri"/>
        <family val="2"/>
        <charset val="1"/>
      </rPr>
      <t xml:space="preserve">Liuxian Lab Excel </t>
    </r>
    <r>
      <rPr>
        <sz val="11"/>
        <color theme="1"/>
        <rFont val="Noto Sans CJK SC"/>
        <family val="2"/>
      </rPr>
      <t xml:space="preserve">死数检查器的规则分级、公式模式识别、公式内固定值识别与豁免逻辑。</t>
    </r>
  </si>
  <si>
    <t xml:space="preserve">判定原则</t>
  </si>
  <si>
    <r>
      <rPr>
        <sz val="11"/>
        <color theme="1"/>
        <rFont val="Noto Sans CJK SC"/>
        <family val="2"/>
      </rPr>
      <t xml:space="preserve">以结构上下文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Noto Sans CJK SC"/>
        <family val="2"/>
      </rPr>
      <t xml:space="preserve">公式模式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Noto Sans CJK SC"/>
        <family val="2"/>
      </rPr>
      <t xml:space="preserve">常量位置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Noto Sans CJK SC"/>
        <family val="2"/>
      </rPr>
      <t xml:space="preserve">数字本身。一个单元格最终只应输出一个主 </t>
    </r>
    <r>
      <rPr>
        <sz val="11"/>
        <color theme="1"/>
        <rFont val="Calibri"/>
        <family val="2"/>
        <charset val="1"/>
      </rPr>
      <t xml:space="preserve">issue</t>
    </r>
    <r>
      <rPr>
        <sz val="11"/>
        <color theme="1"/>
        <rFont val="Noto Sans CJK SC"/>
        <family val="2"/>
      </rPr>
      <t xml:space="preserve">。</t>
    </r>
  </si>
  <si>
    <t xml:space="preserve">注意</t>
  </si>
  <si>
    <t xml:space="preserve">本文件故意包含大量硬编码数值与异常公式，属于测试夹具，不代表推荐建模方式。</t>
  </si>
  <si>
    <t xml:space="preserve">Sheet</t>
  </si>
  <si>
    <t xml:space="preserve">Cell</t>
  </si>
  <si>
    <t xml:space="preserve">预期等级</t>
  </si>
  <si>
    <t xml:space="preserve">预期规则</t>
  </si>
  <si>
    <t xml:space="preserve">场景</t>
  </si>
  <si>
    <t xml:space="preserve">关键说明</t>
  </si>
  <si>
    <t xml:space="preserve">是否必须命中</t>
  </si>
  <si>
    <t xml:space="preserve">备注</t>
  </si>
  <si>
    <t xml:space="preserve">横向公式链</t>
  </si>
  <si>
    <t xml:space="preserve">E9</t>
  </si>
  <si>
    <t xml:space="preserve">HIGH</t>
  </si>
  <si>
    <t xml:space="preserve">HC001</t>
  </si>
  <si>
    <t xml:space="preserve">公式链被固定值打断</t>
  </si>
  <si>
    <r>
      <rPr>
        <sz val="11"/>
        <color theme="1"/>
        <rFont val="Noto Sans CJK SC"/>
        <family val="2"/>
      </rPr>
      <t xml:space="preserve">左右均为同一相对公式模式，中间为数值 </t>
    </r>
    <r>
      <rPr>
        <sz val="11"/>
        <color theme="1"/>
        <rFont val="Calibri"/>
        <family val="2"/>
        <charset val="1"/>
      </rPr>
      <t xml:space="preserve">1250</t>
    </r>
  </si>
  <si>
    <t xml:space="preserve">是</t>
  </si>
  <si>
    <t xml:space="preserve">F11</t>
  </si>
  <si>
    <t xml:space="preserve">HC003</t>
  </si>
  <si>
    <t xml:space="preserve">同类公式额外加入固定值</t>
  </si>
  <si>
    <r>
      <rPr>
        <sz val="11"/>
        <color theme="1"/>
        <rFont val="Noto Sans CJK SC"/>
        <family val="2"/>
      </rPr>
      <t xml:space="preserve">稳定公式模式中额外 </t>
    </r>
    <r>
      <rPr>
        <sz val="11"/>
        <color theme="1"/>
        <rFont val="Calibri"/>
        <family val="2"/>
        <charset val="1"/>
      </rPr>
      <t xml:space="preserve">+100</t>
    </r>
  </si>
  <si>
    <t xml:space="preserve">G13</t>
  </si>
  <si>
    <t xml:space="preserve">HC002</t>
  </si>
  <si>
    <t xml:space="preserve">引用被常量替代</t>
  </si>
  <si>
    <r>
      <rPr>
        <sz val="11"/>
        <color theme="1"/>
        <rFont val="Noto Sans CJK SC"/>
        <family val="2"/>
      </rPr>
      <t xml:space="preserve">其他月份引用本列税率输入，当前直接写死 </t>
    </r>
    <r>
      <rPr>
        <sz val="11"/>
        <color theme="1"/>
        <rFont val="Calibri"/>
        <family val="2"/>
        <charset val="1"/>
      </rPr>
      <t xml:space="preserve">0.15</t>
    </r>
  </si>
  <si>
    <t xml:space="preserve">D15</t>
  </si>
  <si>
    <t xml:space="preserve">SUSPICIOUS</t>
  </si>
  <si>
    <t xml:space="preserve">HC102</t>
  </si>
  <si>
    <t xml:space="preserve">同类公式固定参数异常变化</t>
  </si>
  <si>
    <r>
      <rPr>
        <sz val="11"/>
        <color theme="1"/>
        <rFont val="Noto Sans CJK SC"/>
        <family val="2"/>
      </rPr>
      <t xml:space="preserve">大多数为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，当前为 </t>
    </r>
    <r>
      <rPr>
        <sz val="11"/>
        <color theme="1"/>
        <rFont val="Calibri"/>
        <family val="2"/>
        <charset val="1"/>
      </rPr>
      <t xml:space="preserve">1.15</t>
    </r>
  </si>
  <si>
    <t xml:space="preserve">B17</t>
  </si>
  <si>
    <t xml:space="preserve">HARDCODE_NOTICE</t>
  </si>
  <si>
    <t xml:space="preserve">HC205</t>
  </si>
  <si>
    <t xml:space="preserve">大面积重复业务硬编码</t>
  </si>
  <si>
    <r>
      <rPr>
        <sz val="11"/>
        <color theme="1"/>
        <rFont val="Noto Sans CJK SC"/>
        <family val="2"/>
      </rPr>
      <t xml:space="preserve">重复使用 </t>
    </r>
    <r>
      <rPr>
        <sz val="11"/>
        <color theme="1"/>
        <rFont val="Calibri"/>
        <family val="2"/>
        <charset val="1"/>
      </rPr>
      <t xml:space="preserve">1.13</t>
    </r>
    <r>
      <rPr>
        <sz val="11"/>
        <color theme="1"/>
        <rFont val="Noto Sans CJK SC"/>
        <family val="2"/>
      </rPr>
      <t xml:space="preserve">，建议参数化</t>
    </r>
  </si>
  <si>
    <t xml:space="preserve">否</t>
  </si>
  <si>
    <t xml:space="preserve">实现可聚合成一条区域提示</t>
  </si>
  <si>
    <t xml:space="preserve">C17</t>
  </si>
  <si>
    <t xml:space="preserve">D17</t>
  </si>
  <si>
    <t xml:space="preserve">E17</t>
  </si>
  <si>
    <t xml:space="preserve">F17</t>
  </si>
  <si>
    <t xml:space="preserve">G17</t>
  </si>
  <si>
    <t xml:space="preserve">H17</t>
  </si>
  <si>
    <t xml:space="preserve">I17</t>
  </si>
  <si>
    <t xml:space="preserve">B19</t>
  </si>
  <si>
    <t xml:space="preserve">HC201</t>
  </si>
  <si>
    <t xml:space="preserve">算术表达式直接使用固定数值</t>
  </si>
  <si>
    <r>
      <rPr>
        <sz val="11"/>
        <color theme="1"/>
        <rFont val="Noto Sans CJK SC"/>
        <family val="2"/>
      </rPr>
      <t xml:space="preserve">无邻居结构证据，</t>
    </r>
    <r>
      <rPr>
        <sz val="11"/>
        <color theme="1"/>
        <rFont val="Calibri"/>
        <family val="2"/>
        <charset val="1"/>
      </rPr>
      <t xml:space="preserve">+300 </t>
    </r>
    <r>
      <rPr>
        <sz val="11"/>
        <color theme="1"/>
        <rFont val="Noto Sans CJK SC"/>
        <family val="2"/>
      </rPr>
      <t xml:space="preserve">仅提示</t>
    </r>
  </si>
  <si>
    <t xml:space="preserve">B20</t>
  </si>
  <si>
    <t xml:space="preserve">HC202</t>
  </si>
  <si>
    <t xml:space="preserve">固定百分比</t>
  </si>
  <si>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不应自动豁免</t>
    </r>
  </si>
  <si>
    <t xml:space="preserve">B21</t>
  </si>
  <si>
    <t xml:space="preserve">HC203</t>
  </si>
  <si>
    <t xml:space="preserve">固定期间数</t>
  </si>
  <si>
    <r>
      <rPr>
        <sz val="11"/>
        <color theme="1"/>
        <rFont val="Calibri"/>
        <family val="2"/>
        <charset val="1"/>
      </rPr>
      <t xml:space="preserve">/12 </t>
    </r>
    <r>
      <rPr>
        <sz val="11"/>
        <color theme="1"/>
        <rFont val="Noto Sans CJK SC"/>
        <family val="2"/>
      </rPr>
      <t xml:space="preserve">单独只提示</t>
    </r>
  </si>
  <si>
    <t xml:space="preserve">B22</t>
  </si>
  <si>
    <t xml:space="preserve">HC204</t>
  </si>
  <si>
    <t xml:space="preserve">固定单位换算</t>
  </si>
  <si>
    <r>
      <rPr>
        <sz val="11"/>
        <color theme="1"/>
        <rFont val="Calibri"/>
        <family val="2"/>
        <charset val="1"/>
      </rPr>
      <t xml:space="preserve">/1000 </t>
    </r>
    <r>
      <rPr>
        <sz val="11"/>
        <color theme="1"/>
        <rFont val="Noto Sans CJK SC"/>
        <family val="2"/>
      </rPr>
      <t xml:space="preserve">单独只提示</t>
    </r>
  </si>
  <si>
    <t xml:space="preserve">纵向公式链</t>
  </si>
  <si>
    <t xml:space="preserve">D9</t>
  </si>
  <si>
    <r>
      <rPr>
        <sz val="11"/>
        <color theme="1"/>
        <rFont val="Noto Sans CJK SC"/>
        <family val="2"/>
      </rPr>
      <t xml:space="preserve">纵向公式链中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覆盖公式</t>
    </r>
  </si>
  <si>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不能全局忽略；上下相对公式一致</t>
    </r>
  </si>
  <si>
    <t xml:space="preserve">D13</t>
  </si>
  <si>
    <t xml:space="preserve">纵向公式链中负数覆盖公式</t>
  </si>
  <si>
    <t xml:space="preserve">固定负数打断公式链</t>
  </si>
  <si>
    <t xml:space="preserve">D16</t>
  </si>
  <si>
    <t xml:space="preserve">HC103</t>
  </si>
  <si>
    <t xml:space="preserve">边缘位置仅单侧证据</t>
  </si>
  <si>
    <t xml:space="preserve">位于序列末端，只能从上方获得公式模式</t>
  </si>
  <si>
    <t xml:space="preserve">豁免与降权</t>
  </si>
  <si>
    <t xml:space="preserve">B5</t>
  </si>
  <si>
    <t xml:space="preserve">IGNORE</t>
  </si>
  <si>
    <t xml:space="preserve">HC902</t>
  </si>
  <si>
    <t xml:space="preserve">ROUND control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</si>
  <si>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为 </t>
    </r>
    <r>
      <rPr>
        <sz val="11"/>
        <color theme="1"/>
        <rFont val="Calibri"/>
        <family val="2"/>
        <charset val="1"/>
      </rPr>
      <t xml:space="preserve">ROUND </t>
    </r>
    <r>
      <rPr>
        <sz val="11"/>
        <color theme="1"/>
        <rFont val="Noto Sans CJK SC"/>
        <family val="2"/>
      </rPr>
      <t xml:space="preserve">控制参数</t>
    </r>
  </si>
  <si>
    <t xml:space="preserve">B6</t>
  </si>
  <si>
    <t xml:space="preserve">ROUNDUP control</t>
  </si>
  <si>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为控制参数</t>
    </r>
  </si>
  <si>
    <t xml:space="preserve">B7</t>
  </si>
  <si>
    <t xml:space="preserve">LEFT control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</si>
  <si>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为长度参数；字符串数字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文本忽略</t>
    </r>
  </si>
  <si>
    <t xml:space="preserve">B8</t>
  </si>
  <si>
    <t xml:space="preserve">RIGHT control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</si>
  <si>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为长度参数</t>
    </r>
  </si>
  <si>
    <t xml:space="preserve">B9</t>
  </si>
  <si>
    <t xml:space="preserve">MID controls</t>
  </si>
  <si>
    <r>
      <rPr>
        <sz val="11"/>
        <color theme="1"/>
        <rFont val="Calibri"/>
        <family val="2"/>
        <charset val="1"/>
      </rPr>
      <t xml:space="preserve">2/3 </t>
    </r>
    <r>
      <rPr>
        <sz val="11"/>
        <color theme="1"/>
        <rFont val="Noto Sans CJK SC"/>
        <family val="2"/>
      </rPr>
      <t xml:space="preserve">为函数控制参数</t>
    </r>
  </si>
  <si>
    <t xml:space="preserve">B10</t>
  </si>
  <si>
    <t xml:space="preserve">HC903</t>
  </si>
  <si>
    <t xml:space="preserve">IF logical 0</t>
  </si>
  <si>
    <r>
      <rPr>
        <sz val="11"/>
        <color theme="1"/>
        <rFont val="Noto Sans CJK SC"/>
        <family val="2"/>
      </rPr>
      <t xml:space="preserve">逻辑控制 </t>
    </r>
    <r>
      <rPr>
        <sz val="11"/>
        <color theme="1"/>
        <rFont val="Calibri"/>
        <family val="2"/>
        <charset val="1"/>
      </rPr>
      <t xml:space="preserve">0</t>
    </r>
  </si>
  <si>
    <t xml:space="preserve">B11</t>
  </si>
  <si>
    <t xml:space="preserve">IFERROR zero</t>
  </si>
  <si>
    <r>
      <rPr>
        <sz val="11"/>
        <color theme="1"/>
        <rFont val="Noto Sans CJK SC"/>
        <family val="2"/>
      </rPr>
      <t xml:space="preserve">错误兜底 </t>
    </r>
    <r>
      <rPr>
        <sz val="11"/>
        <color theme="1"/>
        <rFont val="Calibri"/>
        <family val="2"/>
        <charset val="1"/>
      </rPr>
      <t xml:space="preserve">0</t>
    </r>
  </si>
  <si>
    <t xml:space="preserve">B12</t>
  </si>
  <si>
    <t xml:space="preserve">HC904</t>
  </si>
  <si>
    <t xml:space="preserve">DATE args</t>
  </si>
  <si>
    <r>
      <rPr>
        <sz val="11"/>
        <color theme="1"/>
        <rFont val="Calibri"/>
        <family val="2"/>
        <charset val="1"/>
      </rPr>
      <t xml:space="preserve">DATE </t>
    </r>
    <r>
      <rPr>
        <sz val="11"/>
        <color theme="1"/>
        <rFont val="Noto Sans CJK SC"/>
        <family val="2"/>
      </rPr>
      <t xml:space="preserve">年月日参数降权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豁免</t>
    </r>
  </si>
  <si>
    <t xml:space="preserve">B13</t>
  </si>
  <si>
    <t xml:space="preserve">EOMONTH arg</t>
  </si>
  <si>
    <t xml:space="preserve">日期函数参数</t>
  </si>
  <si>
    <t xml:space="preserve">B14</t>
  </si>
  <si>
    <t xml:space="preserve">HC905</t>
  </si>
  <si>
    <t xml:space="preserve">Absolute ref</t>
  </si>
  <si>
    <t xml:space="preserve">绝对引用不是死数</t>
  </si>
  <si>
    <t xml:space="preserve">B15</t>
  </si>
  <si>
    <t xml:space="preserve">HC901</t>
  </si>
  <si>
    <t xml:space="preserve">String number</t>
  </si>
  <si>
    <r>
      <rPr>
        <sz val="11"/>
        <color theme="1"/>
        <rFont val="Noto Sans CJK SC"/>
        <family val="2"/>
      </rPr>
      <t xml:space="preserve">字符串里的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忽略</t>
    </r>
  </si>
  <si>
    <t xml:space="preserve">B16</t>
  </si>
  <si>
    <t xml:space="preserve">HC907</t>
  </si>
  <si>
    <t xml:space="preserve">Array constant</t>
  </si>
  <si>
    <r>
      <rPr>
        <sz val="11"/>
        <color theme="1"/>
        <rFont val="Noto Sans CJK SC"/>
        <family val="2"/>
      </rPr>
      <t xml:space="preserve">数组常量 </t>
    </r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跳过</t>
    </r>
  </si>
  <si>
    <t xml:space="preserve">Mixed control+business</t>
  </si>
  <si>
    <r>
      <rPr>
        <sz val="11"/>
        <color theme="1"/>
        <rFont val="Calibri"/>
        <family val="2"/>
        <charset val="1"/>
      </rPr>
      <t xml:space="preserve">1.13 </t>
    </r>
    <r>
      <rPr>
        <sz val="11"/>
        <color theme="1"/>
        <rFont val="Noto Sans CJK SC"/>
        <family val="2"/>
      </rPr>
      <t xml:space="preserve">应识别；</t>
    </r>
    <r>
      <rPr>
        <sz val="11"/>
        <color theme="1"/>
        <rFont val="Calibri"/>
        <family val="2"/>
        <charset val="1"/>
      </rPr>
      <t xml:space="preserve">ROUND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应忽略</t>
    </r>
  </si>
  <si>
    <t xml:space="preserve">B18</t>
  </si>
  <si>
    <t xml:space="preserve">YEAR + 1</t>
  </si>
  <si>
    <r>
      <rPr>
        <sz val="11"/>
        <color theme="1"/>
        <rFont val="Noto Sans CJK SC"/>
        <family val="2"/>
      </rPr>
      <t xml:space="preserve">日期语义中的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建议降权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忽略</t>
    </r>
  </si>
  <si>
    <t xml:space="preserve">复杂公式</t>
  </si>
  <si>
    <t xml:space="preserve">D5</t>
  </si>
  <si>
    <t xml:space="preserve">Nested IF business hardcode</t>
  </si>
  <si>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是业务常量；比较无额外数字</t>
    </r>
  </si>
  <si>
    <t xml:space="preserve">D6</t>
  </si>
  <si>
    <t xml:space="preserve">IF threshold</t>
  </si>
  <si>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Noto Sans CJK SC"/>
        <family val="2"/>
      </rPr>
      <t xml:space="preserve">是比较阈值，属于业务常量候选</t>
    </r>
  </si>
  <si>
    <t xml:space="preserve">D7</t>
  </si>
  <si>
    <t xml:space="preserve">ROUND mixed</t>
  </si>
  <si>
    <r>
      <rPr>
        <sz val="11"/>
        <color theme="1"/>
        <rFont val="Calibri"/>
        <family val="2"/>
        <charset val="1"/>
      </rPr>
      <t xml:space="preserve">0.85 </t>
    </r>
    <r>
      <rPr>
        <sz val="11"/>
        <color theme="1"/>
        <rFont val="Noto Sans CJK SC"/>
        <family val="2"/>
      </rPr>
      <t xml:space="preserve">提示；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豁免</t>
    </r>
  </si>
  <si>
    <t xml:space="preserve">D8</t>
  </si>
  <si>
    <t xml:space="preserve">SUM plus override</t>
  </si>
  <si>
    <r>
      <rPr>
        <sz val="11"/>
        <color theme="1"/>
        <rFont val="Calibri"/>
        <family val="2"/>
        <charset val="1"/>
      </rPr>
      <t xml:space="preserve">+500 </t>
    </r>
    <r>
      <rPr>
        <sz val="11"/>
        <color theme="1"/>
        <rFont val="Noto Sans CJK SC"/>
        <family val="2"/>
      </rPr>
      <t xml:space="preserve">为业务常量</t>
    </r>
  </si>
  <si>
    <t xml:space="preserve">MIN cap</t>
  </si>
  <si>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可能是业务 </t>
    </r>
    <r>
      <rPr>
        <sz val="11"/>
        <color theme="1"/>
        <rFont val="Calibri"/>
        <family val="2"/>
        <charset val="1"/>
      </rPr>
      <t xml:space="preserve">cap</t>
    </r>
    <r>
      <rPr>
        <sz val="11"/>
        <color theme="1"/>
        <rFont val="Noto Sans CJK SC"/>
        <family val="2"/>
      </rPr>
      <t xml:space="preserve">，不应当作控制参数</t>
    </r>
  </si>
  <si>
    <t xml:space="preserve">D10</t>
  </si>
  <si>
    <t xml:space="preserve">MAX floor</t>
  </si>
  <si>
    <r>
      <rPr>
        <sz val="11"/>
        <color theme="1"/>
        <rFont val="Calibri"/>
        <family val="2"/>
        <charset val="1"/>
      </rPr>
      <t xml:space="preserve">MAX(...,0)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作为常见 </t>
    </r>
    <r>
      <rPr>
        <sz val="11"/>
        <color theme="1"/>
        <rFont val="Calibri"/>
        <family val="2"/>
        <charset val="1"/>
      </rPr>
      <t xml:space="preserve">floor </t>
    </r>
    <r>
      <rPr>
        <sz val="11"/>
        <color theme="1"/>
        <rFont val="Noto Sans CJK SC"/>
        <family val="2"/>
      </rPr>
      <t xml:space="preserve">可降权</t>
    </r>
  </si>
  <si>
    <t xml:space="preserve">D11</t>
  </si>
  <si>
    <t xml:space="preserve">CHOOSE index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</si>
  <si>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为索引控制；未被选择的 </t>
    </r>
    <r>
      <rPr>
        <sz val="11"/>
        <color theme="1"/>
        <rFont val="Calibri"/>
        <family val="2"/>
        <charset val="1"/>
      </rPr>
      <t xml:space="preserve">999 v1 </t>
    </r>
    <r>
      <rPr>
        <sz val="11"/>
        <color theme="1"/>
        <rFont val="Noto Sans CJK SC"/>
        <family val="2"/>
      </rPr>
      <t xml:space="preserve">可忽略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复杂语义</t>
    </r>
  </si>
  <si>
    <t xml:space="preserve">D12</t>
  </si>
  <si>
    <t xml:space="preserve">Power exponent</t>
  </si>
  <si>
    <r>
      <rPr>
        <sz val="11"/>
        <color theme="1"/>
        <rFont val="Calibri"/>
        <family val="2"/>
        <charset val="1"/>
      </rPr>
      <t xml:space="preserve">^2 </t>
    </r>
    <r>
      <rPr>
        <sz val="11"/>
        <color theme="1"/>
        <rFont val="Noto Sans CJK SC"/>
        <family val="2"/>
      </rPr>
      <t xml:space="preserve">直接参与算术，应提示</t>
    </r>
  </si>
  <si>
    <t xml:space="preserve">Percent in IF</t>
  </si>
  <si>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业务硬编码；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逻辑豁免</t>
    </r>
  </si>
  <si>
    <t xml:space="preserve">D14</t>
  </si>
  <si>
    <t xml:space="preserve">Text concat</t>
  </si>
  <si>
    <t xml:space="preserve">格式字符串和文本数字忽略</t>
  </si>
  <si>
    <t xml:space="preserve">财务模型</t>
  </si>
  <si>
    <t xml:space="preserve">E11</t>
  </si>
  <si>
    <t xml:space="preserve">利润率引用被固定值替代</t>
  </si>
  <si>
    <r>
      <rPr>
        <sz val="11"/>
        <color theme="1"/>
        <rFont val="Noto Sans CJK SC"/>
        <family val="2"/>
      </rPr>
      <t xml:space="preserve">其他年份引用本列 </t>
    </r>
    <r>
      <rPr>
        <sz val="11"/>
        <color theme="1"/>
        <rFont val="Calibri"/>
        <family val="2"/>
        <charset val="1"/>
      </rPr>
      <t xml:space="preserve">Margin</t>
    </r>
    <r>
      <rPr>
        <sz val="11"/>
        <color theme="1"/>
        <rFont val="Noto Sans CJK SC"/>
        <family val="2"/>
      </rPr>
      <t xml:space="preserve">，当前写死 </t>
    </r>
    <r>
      <rPr>
        <sz val="11"/>
        <color theme="1"/>
        <rFont val="Calibri"/>
        <family val="2"/>
        <charset val="1"/>
      </rPr>
      <t xml:space="preserve">0.50</t>
    </r>
  </si>
  <si>
    <t xml:space="preserve">整行重复硬编码比例</t>
  </si>
  <si>
    <r>
      <rPr>
        <sz val="11"/>
        <color theme="1"/>
        <rFont val="Calibri"/>
        <family val="2"/>
        <charset val="1"/>
      </rPr>
      <t xml:space="preserve">0.20 </t>
    </r>
    <r>
      <rPr>
        <sz val="11"/>
        <color theme="1"/>
        <rFont val="Noto Sans CJK SC"/>
        <family val="2"/>
      </rPr>
      <t xml:space="preserve">全行重复，建议参数化</t>
    </r>
  </si>
  <si>
    <t xml:space="preserve">C12</t>
  </si>
  <si>
    <t xml:space="preserve">E12</t>
  </si>
  <si>
    <t xml:space="preserve">F12</t>
  </si>
  <si>
    <r>
      <rPr>
        <sz val="11"/>
        <color theme="1"/>
        <rFont val="Calibri"/>
        <family val="2"/>
        <charset val="1"/>
      </rPr>
      <t xml:space="preserve">EBIT </t>
    </r>
    <r>
      <rPr>
        <sz val="11"/>
        <color theme="1"/>
        <rFont val="Noto Sans CJK SC"/>
        <family val="2"/>
      </rPr>
      <t xml:space="preserve">单期额外扣减固定值</t>
    </r>
  </si>
  <si>
    <r>
      <rPr>
        <sz val="11"/>
        <color theme="1"/>
        <rFont val="Noto Sans CJK SC"/>
        <family val="2"/>
      </rPr>
      <t xml:space="preserve">稳定公式链中额外 </t>
    </r>
    <r>
      <rPr>
        <sz val="11"/>
        <color theme="1"/>
        <rFont val="Calibri"/>
        <family val="2"/>
        <charset val="1"/>
      </rPr>
      <t xml:space="preserve">-250</t>
    </r>
  </si>
  <si>
    <t xml:space="preserve">F15</t>
  </si>
  <si>
    <t xml:space="preserve">跨表引用被常量替代</t>
  </si>
  <si>
    <r>
      <rPr>
        <sz val="11"/>
        <color theme="1"/>
        <rFont val="Noto Sans CJK SC"/>
        <family val="2"/>
      </rPr>
      <t xml:space="preserve">其他年份引用 参数 表</t>
    </r>
    <r>
      <rPr>
        <sz val="11"/>
        <color theme="1"/>
        <rFont val="Calibri"/>
        <family val="2"/>
        <charset val="1"/>
      </rPr>
      <t xml:space="preserve">!$B$5</t>
    </r>
    <r>
      <rPr>
        <sz val="11"/>
        <color theme="1"/>
        <rFont val="Noto Sans CJK SC"/>
        <family val="2"/>
      </rPr>
      <t xml:space="preserve">，当前写死 </t>
    </r>
    <r>
      <rPr>
        <sz val="11"/>
        <color theme="1"/>
        <rFont val="Calibri"/>
        <family val="2"/>
        <charset val="1"/>
      </rPr>
      <t xml:space="preserve">7.5</t>
    </r>
  </si>
  <si>
    <t xml:space="preserve">E16</t>
  </si>
  <si>
    <t xml:space="preserve">命名范围引用被常量替代</t>
  </si>
  <si>
    <r>
      <rPr>
        <sz val="11"/>
        <color theme="1"/>
        <rFont val="Noto Sans CJK SC"/>
        <family val="2"/>
      </rPr>
      <t xml:space="preserve">其他年份使用 </t>
    </r>
    <r>
      <rPr>
        <sz val="11"/>
        <color theme="1"/>
        <rFont val="Calibri"/>
        <family val="2"/>
        <charset val="1"/>
      </rPr>
      <t xml:space="preserve">TaxRate</t>
    </r>
    <r>
      <rPr>
        <sz val="11"/>
        <color theme="1"/>
        <rFont val="Noto Sans CJK SC"/>
        <family val="2"/>
      </rPr>
      <t xml:space="preserve">，当前写死 </t>
    </r>
    <r>
      <rPr>
        <sz val="11"/>
        <color theme="1"/>
        <rFont val="Calibri"/>
        <family val="2"/>
        <charset val="1"/>
      </rPr>
      <t xml:space="preserve">0.30</t>
    </r>
  </si>
  <si>
    <t xml:space="preserve">布局边界</t>
  </si>
  <si>
    <t xml:space="preserve">E6</t>
  </si>
  <si>
    <t xml:space="preserve">隐藏行中的公式链被固定值打断</t>
  </si>
  <si>
    <t xml:space="preserve">隐藏行也应能被扫描（如产品决定不扫隐藏行，可作为明确策略）</t>
  </si>
  <si>
    <t xml:space="preserve">策略性测试</t>
  </si>
  <si>
    <t xml:space="preserve">隐藏列中的公式链被固定值打断</t>
  </si>
  <si>
    <t xml:space="preserve">隐藏列策略测试</t>
  </si>
  <si>
    <t xml:space="preserve">HC906</t>
  </si>
  <si>
    <t xml:space="preserve">真正空白</t>
  </si>
  <si>
    <t xml:space="preserve">不属于死数</t>
  </si>
  <si>
    <t xml:space="preserve">公式返回空字符串</t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</si>
  <si>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不作为死数</t>
    </r>
  </si>
  <si>
    <t xml:space="preserve">D19</t>
  </si>
  <si>
    <t xml:space="preserve">HC101</t>
  </si>
  <si>
    <t xml:space="preserve">公式密集区域孤立固定值</t>
  </si>
  <si>
    <r>
      <rPr>
        <sz val="11"/>
        <color theme="1"/>
        <rFont val="Calibri"/>
        <family val="2"/>
        <charset val="1"/>
      </rPr>
      <t xml:space="preserve">3x3 </t>
    </r>
    <r>
      <rPr>
        <sz val="11"/>
        <color theme="1"/>
        <rFont val="Noto Sans CJK SC"/>
        <family val="2"/>
      </rPr>
      <t xml:space="preserve">邻域公式占比很高但中心为数值</t>
    </r>
  </si>
  <si>
    <t xml:space="preserve">模式陷阱</t>
  </si>
  <si>
    <t xml:space="preserve">E7</t>
  </si>
  <si>
    <t xml:space="preserve">—</t>
  </si>
  <si>
    <t xml:space="preserve">交替公式模式</t>
  </si>
  <si>
    <t xml:space="preserve">周围不存在单一稳定模式，不应把其中一类当异常</t>
  </si>
  <si>
    <t xml:space="preserve">F9</t>
  </si>
  <si>
    <t xml:space="preserve">成段制度切换</t>
  </si>
  <si>
    <t xml:space="preserve">不是孤立异常，应该避免把边界第一个格子误报</t>
  </si>
  <si>
    <t xml:space="preserve">纯输入区</t>
  </si>
  <si>
    <t xml:space="preserve">普通输入区数值不能因周围都是数字就报死数</t>
  </si>
  <si>
    <t xml:space="preserve">E13</t>
  </si>
  <si>
    <r>
      <rPr>
        <sz val="11"/>
        <color theme="1"/>
        <rFont val="Noto Sans CJK SC"/>
        <family val="2"/>
      </rPr>
      <t xml:space="preserve">输入区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</si>
  <si>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不能全局把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当问题</t>
    </r>
  </si>
  <si>
    <t xml:space="preserve">大区域性能</t>
  </si>
  <si>
    <t xml:space="preserve">H12</t>
  </si>
  <si>
    <t xml:space="preserve">大公式矩阵中固定值覆盖</t>
  </si>
  <si>
    <t xml:space="preserve">上下左右均有稳定公式模式</t>
  </si>
  <si>
    <t xml:space="preserve">M25</t>
  </si>
  <si>
    <t xml:space="preserve">T37</t>
  </si>
  <si>
    <t xml:space="preserve">Q18</t>
  </si>
  <si>
    <t xml:space="preserve">大区域中公式额外常量</t>
  </si>
  <si>
    <r>
      <rPr>
        <sz val="11"/>
        <color theme="1"/>
        <rFont val="Noto Sans CJK SC"/>
        <family val="2"/>
      </rPr>
      <t xml:space="preserve">公式模式稳定，当前额外 </t>
    </r>
    <r>
      <rPr>
        <sz val="11"/>
        <color theme="1"/>
        <rFont val="Calibri"/>
        <family val="2"/>
        <charset val="1"/>
      </rPr>
      <t xml:space="preserve">+500</t>
    </r>
  </si>
  <si>
    <t xml:space="preserve">横向公式链压力测试</t>
  </si>
  <si>
    <r>
      <rPr>
        <i val="true"/>
        <sz val="11"/>
        <color rgb="FF666666"/>
        <rFont val="Noto Sans CJK SC"/>
        <family val="2"/>
      </rPr>
      <t xml:space="preserve">重点验证 </t>
    </r>
    <r>
      <rPr>
        <i val="true"/>
        <sz val="11"/>
        <color rgb="FF666666"/>
        <rFont val="Cambria"/>
        <family val="0"/>
        <charset val="1"/>
      </rPr>
      <t xml:space="preserve">HC001 / HC002 / HC003 / HC102 / HC201 </t>
    </r>
    <r>
      <rPr>
        <i val="true"/>
        <sz val="11"/>
        <color rgb="FF666666"/>
        <rFont val="Noto Sans CJK SC"/>
        <family val="2"/>
      </rPr>
      <t xml:space="preserve">等。</t>
    </r>
  </si>
  <si>
    <t xml:space="preserve">项目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</si>
  <si>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</si>
  <si>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</si>
  <si>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</si>
  <si>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</si>
  <si>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</si>
  <si>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</si>
  <si>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</si>
  <si>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</si>
  <si>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Revenue</t>
  </si>
  <si>
    <t xml:space="preserve">Cost</t>
  </si>
  <si>
    <t xml:space="preserve">Tax rate input</t>
  </si>
  <si>
    <t xml:space="preserve">Gross profit - value override</t>
  </si>
  <si>
    <t xml:space="preserve">Gross profit - extra constant</t>
  </si>
  <si>
    <t xml:space="preserve">After-tax - reference replaced</t>
  </si>
  <si>
    <t xml:space="preserve">Same hardcode, one changed</t>
  </si>
  <si>
    <t xml:space="preserve">Repeated business hardcode</t>
  </si>
  <si>
    <t xml:space="preserve">Standalone + hardcode</t>
  </si>
  <si>
    <t xml:space="preserve">Standalone percent</t>
  </si>
  <si>
    <t xml:space="preserve">Standalone period</t>
  </si>
  <si>
    <t xml:space="preserve">Standalone unit</t>
  </si>
  <si>
    <t xml:space="preserve">纵向公式链压力测试</t>
  </si>
  <si>
    <r>
      <rPr>
        <i val="true"/>
        <sz val="11"/>
        <color rgb="FF666666"/>
        <rFont val="Noto Sans CJK SC"/>
        <family val="2"/>
      </rPr>
      <t xml:space="preserve">验证上下公式模式、</t>
    </r>
    <r>
      <rPr>
        <i val="true"/>
        <sz val="11"/>
        <color rgb="FF666666"/>
        <rFont val="Cambria"/>
        <family val="0"/>
        <charset val="1"/>
      </rPr>
      <t xml:space="preserve">0 </t>
    </r>
    <r>
      <rPr>
        <i val="true"/>
        <sz val="11"/>
        <color rgb="FF666666"/>
        <rFont val="Noto Sans CJK SC"/>
        <family val="2"/>
      </rPr>
      <t xml:space="preserve">值覆盖、负数覆盖、单侧证据。</t>
    </r>
  </si>
  <si>
    <t xml:space="preserve">Input A</t>
  </si>
  <si>
    <t xml:space="preserve">Input B</t>
  </si>
  <si>
    <t xml:space="preserve">Result</t>
  </si>
  <si>
    <t xml:space="preserve">Line 1</t>
  </si>
  <si>
    <t xml:space="preserve">Line 2</t>
  </si>
  <si>
    <t xml:space="preserve">Line 3</t>
  </si>
  <si>
    <t xml:space="preserve">Line 4</t>
  </si>
  <si>
    <t xml:space="preserve">Line 5</t>
  </si>
  <si>
    <t xml:space="preserve">Line 6</t>
  </si>
  <si>
    <t xml:space="preserve">Line 7</t>
  </si>
  <si>
    <t xml:space="preserve">Line 8</t>
  </si>
  <si>
    <t xml:space="preserve">Line 9</t>
  </si>
  <si>
    <t xml:space="preserve">Line 10</t>
  </si>
  <si>
    <t xml:space="preserve">Line 11</t>
  </si>
  <si>
    <t xml:space="preserve">Line 12</t>
  </si>
  <si>
    <t xml:space="preserve">豁免与降权压力测试</t>
  </si>
  <si>
    <r>
      <rPr>
        <i val="true"/>
        <sz val="11"/>
        <color rgb="FF666666"/>
        <rFont val="Noto Sans CJK SC"/>
        <family val="2"/>
      </rPr>
      <t xml:space="preserve">这些公式中的数字大多不应产生用户可见 </t>
    </r>
    <r>
      <rPr>
        <i val="true"/>
        <sz val="11"/>
        <color rgb="FF666666"/>
        <rFont val="Cambria"/>
        <family val="0"/>
        <charset val="1"/>
      </rPr>
      <t xml:space="preserve">issue</t>
    </r>
    <r>
      <rPr>
        <i val="true"/>
        <sz val="11"/>
        <color rgb="FF666666"/>
        <rFont val="Noto Sans CJK SC"/>
        <family val="2"/>
      </rPr>
      <t xml:space="preserve">。</t>
    </r>
  </si>
  <si>
    <t xml:space="preserve">Case</t>
  </si>
  <si>
    <t xml:space="preserve">Formula</t>
  </si>
  <si>
    <t xml:space="preserve">Expected</t>
  </si>
  <si>
    <t xml:space="preserve">Reason</t>
  </si>
  <si>
    <t xml:space="preserve">复杂公式与嵌套</t>
  </si>
  <si>
    <r>
      <rPr>
        <i val="true"/>
        <sz val="11"/>
        <color rgb="FF666666"/>
        <rFont val="Noto Sans CJK SC"/>
        <family val="2"/>
      </rPr>
      <t xml:space="preserve">验证数字 </t>
    </r>
    <r>
      <rPr>
        <i val="true"/>
        <sz val="11"/>
        <color rgb="FF666666"/>
        <rFont val="Cambria"/>
        <family val="0"/>
        <charset val="1"/>
      </rPr>
      <t xml:space="preserve">token </t>
    </r>
    <r>
      <rPr>
        <i val="true"/>
        <sz val="11"/>
        <color rgb="FF666666"/>
        <rFont val="Noto Sans CJK SC"/>
        <family val="2"/>
      </rPr>
      <t xml:space="preserve">的语义位置，不应把所有数字一刀切。</t>
    </r>
  </si>
  <si>
    <t xml:space="preserve">Input1</t>
  </si>
  <si>
    <t xml:space="preserve">Input2</t>
  </si>
  <si>
    <t xml:space="preserve">小型财务模型场景</t>
  </si>
  <si>
    <r>
      <rPr>
        <i val="true"/>
        <sz val="11"/>
        <color rgb="FF666666"/>
        <rFont val="Noto Sans CJK SC"/>
        <family val="2"/>
      </rPr>
      <t xml:space="preserve">混合参数区、公式区、跨表引用、硬编码 </t>
    </r>
    <r>
      <rPr>
        <i val="true"/>
        <sz val="11"/>
        <color rgb="FF666666"/>
        <rFont val="Cambria"/>
        <family val="0"/>
        <charset val="1"/>
      </rPr>
      <t xml:space="preserve">override</t>
    </r>
    <r>
      <rPr>
        <i val="true"/>
        <sz val="11"/>
        <color rgb="FF666666"/>
        <rFont val="Noto Sans CJK SC"/>
        <family val="2"/>
      </rPr>
      <t xml:space="preserve">。</t>
    </r>
  </si>
  <si>
    <t xml:space="preserve">Metric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</si>
  <si>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</si>
  <si>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</si>
  <si>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</si>
  <si>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</si>
  <si>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</si>
  <si>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Assumptions</t>
  </si>
  <si>
    <t xml:space="preserve">Growth</t>
  </si>
  <si>
    <t xml:space="preserve">Margin</t>
  </si>
  <si>
    <t xml:space="preserve">Gross Profit</t>
  </si>
  <si>
    <t xml:space="preserve">Opex</t>
  </si>
  <si>
    <t xml:space="preserve">EBIT</t>
  </si>
  <si>
    <t xml:space="preserve">FX converted</t>
  </si>
  <si>
    <t xml:space="preserve">Tax expense</t>
  </si>
  <si>
    <t xml:space="preserve">参数 表</t>
  </si>
  <si>
    <t xml:space="preserve">跨表引用与命名范围测试</t>
  </si>
  <si>
    <t xml:space="preserve">Key</t>
  </si>
  <si>
    <t xml:space="preserve">Value</t>
  </si>
  <si>
    <t xml:space="preserve">FX</t>
  </si>
  <si>
    <t xml:space="preserve">Tax</t>
  </si>
  <si>
    <t xml:space="preserve">布局与结构边界</t>
  </si>
  <si>
    <t xml:space="preserve">合并单元格、隐藏行列、空白、公式返回空字符串、孤立数值。</t>
  </si>
  <si>
    <t xml:space="preserve">Merged Header</t>
  </si>
  <si>
    <t xml:space="preserve">Hidden row formula chain</t>
  </si>
  <si>
    <t xml:space="preserve">Input 1</t>
  </si>
  <si>
    <t xml:space="preserve">Input 2</t>
  </si>
  <si>
    <t xml:space="preserve">Blank should ignore</t>
  </si>
  <si>
    <t xml:space="preserve">Formula empty string</t>
  </si>
  <si>
    <t xml:space="preserve">模式陷阱与防误报</t>
  </si>
  <si>
    <t xml:space="preserve">刻意制造相似但业务上合理的模式变化。</t>
  </si>
  <si>
    <t xml:space="preserve">Base</t>
  </si>
  <si>
    <t xml:space="preserve">Alternating pattern</t>
  </si>
  <si>
    <t xml:space="preserve">Regime change</t>
  </si>
  <si>
    <t xml:space="preserve">Input assumptions</t>
  </si>
  <si>
    <t xml:space="preserve">Zero input</t>
  </si>
  <si>
    <t xml:space="preserve">大区域性能与密度</t>
  </si>
  <si>
    <r>
      <rPr>
        <i val="true"/>
        <sz val="11"/>
        <color rgb="FF666666"/>
        <rFont val="Noto Sans CJK SC"/>
        <family val="2"/>
      </rPr>
      <t xml:space="preserve">约 </t>
    </r>
    <r>
      <rPr>
        <i val="true"/>
        <sz val="11"/>
        <color rgb="FF666666"/>
        <rFont val="Cambria"/>
        <family val="0"/>
        <charset val="1"/>
      </rPr>
      <t xml:space="preserve">1,000 </t>
    </r>
    <r>
      <rPr>
        <i val="true"/>
        <sz val="11"/>
        <color rgb="FF666666"/>
        <rFont val="Noto Sans CJK SC"/>
        <family val="2"/>
      </rPr>
      <t xml:space="preserve">个公式单元格，插入少量异常，测试性能和去重。</t>
    </r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</si>
  <si>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</si>
  <si>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</si>
  <si>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</si>
  <si>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</si>
  <si>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</si>
  <si>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</si>
  <si>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</si>
  <si>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</si>
  <si>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</si>
  <si>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</si>
  <si>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</si>
  <si>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</si>
  <si>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</si>
  <si>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</si>
  <si>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</si>
  <si>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</si>
  <si>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</si>
  <si>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</si>
  <si>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</si>
  <si>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</si>
  <si>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</si>
  <si>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</si>
  <si>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</si>
  <si>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</si>
  <si>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Line 13</t>
  </si>
  <si>
    <t xml:space="preserve">Line 14</t>
  </si>
  <si>
    <t xml:space="preserve">Line 15</t>
  </si>
  <si>
    <t xml:space="preserve">Line 16</t>
  </si>
  <si>
    <t xml:space="preserve">Line 17</t>
  </si>
  <si>
    <t xml:space="preserve">Line 18</t>
  </si>
  <si>
    <t xml:space="preserve">Line 19</t>
  </si>
  <si>
    <t xml:space="preserve">Line 20</t>
  </si>
  <si>
    <t xml:space="preserve">Line 21</t>
  </si>
  <si>
    <t xml:space="preserve">Line 22</t>
  </si>
  <si>
    <t xml:space="preserve">Line 23</t>
  </si>
  <si>
    <t xml:space="preserve">Line 24</t>
  </si>
  <si>
    <t xml:space="preserve">Line 25</t>
  </si>
  <si>
    <t xml:space="preserve">Line 26</t>
  </si>
  <si>
    <t xml:space="preserve">Line 27</t>
  </si>
  <si>
    <t xml:space="preserve">Line 28</t>
  </si>
  <si>
    <t xml:space="preserve">Line 29</t>
  </si>
  <si>
    <t xml:space="preserve">Line 30</t>
  </si>
  <si>
    <t xml:space="preserve">Line 31</t>
  </si>
  <si>
    <t xml:space="preserve">Line 32</t>
  </si>
  <si>
    <t xml:space="preserve">Line 33</t>
  </si>
  <si>
    <t xml:space="preserve">Line 34</t>
  </si>
  <si>
    <t xml:space="preserve">Line 35</t>
  </si>
  <si>
    <t xml:space="preserve">Line 36</t>
  </si>
  <si>
    <t xml:space="preserve">Line 37</t>
  </si>
  <si>
    <t xml:space="preserve">Line 38</t>
  </si>
  <si>
    <t xml:space="preserve">Line 39</t>
  </si>
  <si>
    <t xml:space="preserve">Line 40</t>
  </si>
  <si>
    <t xml:space="preserve">Source constants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</si>
</sst>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(#,##0.00\);\-"/>
    <numFmt numFmtId="166" formatCode="0.0%"/>
    <numFmt numFmtId="167" formatCode="mm/dd/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8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FFFFFF"/>
      <name val="Noto Sans CJK SC"/>
      <family val="2"/>
    </font>
    <font>
      <i val="true"/>
      <sz val="11"/>
      <color rgb="FF666666"/>
      <name val="Noto Sans CJK SC"/>
      <family val="2"/>
    </font>
    <font>
      <i val="true"/>
      <sz val="11"/>
      <color rgb="FF666666"/>
      <name val="Cambria"/>
      <family val="0"/>
      <charset val="1"/>
    </font>
    <font>
      <b val="true"/>
      <sz val="11"/>
      <name val="Noto Sans CJK SC"/>
      <family val="2"/>
    </font>
    <font>
      <sz val="11"/>
      <color rgb="FF0000FF"/>
      <name val="Cambria"/>
      <family val="0"/>
      <charset val="1"/>
    </font>
    <font>
      <sz val="10"/>
      <name val="Noto Sans CJK SC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9EAF7"/>
      </patternFill>
    </fill>
    <fill>
      <patternFill patternType="solid">
        <fgColor rgb="FFD9EAF7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6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28"/>
  </cols>
  <sheetData>
    <row r="1" customFormat="false" ht="27.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24.6" hidden="false" customHeight="false" outlineLevel="0" collapsed="false">
      <c r="A3" s="2" t="s">
        <v>1</v>
      </c>
      <c r="B3" s="3" t="s">
        <v>2</v>
      </c>
    </row>
    <row r="4" customFormat="false" ht="111.15" hidden="false" customHeight="false" outlineLevel="0" collapsed="false">
      <c r="A4" s="2" t="s">
        <v>3</v>
      </c>
      <c r="B4" s="3" t="s">
        <v>4</v>
      </c>
    </row>
    <row r="5" customFormat="false" ht="111.15" hidden="false" customHeight="false" outlineLevel="0" collapsed="false">
      <c r="A5" s="2" t="s">
        <v>5</v>
      </c>
      <c r="B5" s="3" t="s">
        <v>6</v>
      </c>
    </row>
    <row r="8" customFormat="false" ht="17.15" hidden="false" customHeight="false" outlineLevel="0" collapsed="false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</row>
    <row r="9" customFormat="false" ht="17.15" hidden="false" customHeight="false" outlineLevel="0" collapsed="false">
      <c r="A9" s="5" t="s">
        <v>15</v>
      </c>
      <c r="B9" s="0" t="s">
        <v>16</v>
      </c>
      <c r="C9" s="6" t="s">
        <v>17</v>
      </c>
      <c r="D9" s="0" t="s">
        <v>18</v>
      </c>
      <c r="E9" s="5" t="s">
        <v>19</v>
      </c>
      <c r="F9" s="5" t="s">
        <v>20</v>
      </c>
      <c r="G9" s="5" t="s">
        <v>21</v>
      </c>
    </row>
    <row r="10" customFormat="false" ht="17.15" hidden="false" customHeight="false" outlineLevel="0" collapsed="false">
      <c r="A10" s="5" t="s">
        <v>15</v>
      </c>
      <c r="B10" s="0" t="s">
        <v>22</v>
      </c>
      <c r="C10" s="6" t="s">
        <v>17</v>
      </c>
      <c r="D10" s="0" t="s">
        <v>23</v>
      </c>
      <c r="E10" s="5" t="s">
        <v>24</v>
      </c>
      <c r="F10" s="5" t="s">
        <v>25</v>
      </c>
      <c r="G10" s="5" t="s">
        <v>21</v>
      </c>
    </row>
    <row r="11" customFormat="false" ht="17.15" hidden="false" customHeight="false" outlineLevel="0" collapsed="false">
      <c r="A11" s="5" t="s">
        <v>15</v>
      </c>
      <c r="B11" s="0" t="s">
        <v>26</v>
      </c>
      <c r="C11" s="6" t="s">
        <v>17</v>
      </c>
      <c r="D11" s="0" t="s">
        <v>27</v>
      </c>
      <c r="E11" s="5" t="s">
        <v>28</v>
      </c>
      <c r="F11" s="5" t="s">
        <v>29</v>
      </c>
      <c r="G11" s="5" t="s">
        <v>21</v>
      </c>
    </row>
    <row r="12" customFormat="false" ht="17.15" hidden="false" customHeight="false" outlineLevel="0" collapsed="false">
      <c r="A12" s="5" t="s">
        <v>15</v>
      </c>
      <c r="B12" s="0" t="s">
        <v>30</v>
      </c>
      <c r="C12" s="7" t="s">
        <v>31</v>
      </c>
      <c r="D12" s="0" t="s">
        <v>32</v>
      </c>
      <c r="E12" s="5" t="s">
        <v>33</v>
      </c>
      <c r="F12" s="5" t="s">
        <v>34</v>
      </c>
      <c r="G12" s="5" t="s">
        <v>21</v>
      </c>
    </row>
    <row r="13" customFormat="false" ht="17.15" hidden="false" customHeight="false" outlineLevel="0" collapsed="false">
      <c r="A13" s="5" t="s">
        <v>15</v>
      </c>
      <c r="B13" s="0" t="s">
        <v>35</v>
      </c>
      <c r="C13" s="8" t="s">
        <v>36</v>
      </c>
      <c r="D13" s="0" t="s">
        <v>37</v>
      </c>
      <c r="E13" s="5" t="s">
        <v>38</v>
      </c>
      <c r="F13" s="5" t="s">
        <v>39</v>
      </c>
      <c r="G13" s="5" t="s">
        <v>40</v>
      </c>
      <c r="H13" s="5" t="s">
        <v>41</v>
      </c>
    </row>
    <row r="14" customFormat="false" ht="17.15" hidden="false" customHeight="false" outlineLevel="0" collapsed="false">
      <c r="A14" s="5" t="s">
        <v>15</v>
      </c>
      <c r="B14" s="0" t="s">
        <v>42</v>
      </c>
      <c r="C14" s="8" t="s">
        <v>36</v>
      </c>
      <c r="D14" s="0" t="s">
        <v>37</v>
      </c>
      <c r="E14" s="5" t="s">
        <v>38</v>
      </c>
      <c r="F14" s="5" t="s">
        <v>39</v>
      </c>
      <c r="G14" s="5" t="s">
        <v>40</v>
      </c>
      <c r="H14" s="5" t="s">
        <v>41</v>
      </c>
    </row>
    <row r="15" customFormat="false" ht="17.15" hidden="false" customHeight="false" outlineLevel="0" collapsed="false">
      <c r="A15" s="5" t="s">
        <v>15</v>
      </c>
      <c r="B15" s="0" t="s">
        <v>43</v>
      </c>
      <c r="C15" s="8" t="s">
        <v>36</v>
      </c>
      <c r="D15" s="0" t="s">
        <v>37</v>
      </c>
      <c r="E15" s="5" t="s">
        <v>38</v>
      </c>
      <c r="F15" s="5" t="s">
        <v>39</v>
      </c>
      <c r="G15" s="5" t="s">
        <v>40</v>
      </c>
      <c r="H15" s="5" t="s">
        <v>41</v>
      </c>
    </row>
    <row r="16" customFormat="false" ht="17.15" hidden="false" customHeight="false" outlineLevel="0" collapsed="false">
      <c r="A16" s="5" t="s">
        <v>15</v>
      </c>
      <c r="B16" s="0" t="s">
        <v>44</v>
      </c>
      <c r="C16" s="8" t="s">
        <v>36</v>
      </c>
      <c r="D16" s="0" t="s">
        <v>37</v>
      </c>
      <c r="E16" s="5" t="s">
        <v>38</v>
      </c>
      <c r="F16" s="5" t="s">
        <v>39</v>
      </c>
      <c r="G16" s="5" t="s">
        <v>40</v>
      </c>
      <c r="H16" s="5" t="s">
        <v>41</v>
      </c>
    </row>
    <row r="17" customFormat="false" ht="17.15" hidden="false" customHeight="false" outlineLevel="0" collapsed="false">
      <c r="A17" s="5" t="s">
        <v>15</v>
      </c>
      <c r="B17" s="0" t="s">
        <v>45</v>
      </c>
      <c r="C17" s="8" t="s">
        <v>36</v>
      </c>
      <c r="D17" s="0" t="s">
        <v>37</v>
      </c>
      <c r="E17" s="5" t="s">
        <v>38</v>
      </c>
      <c r="F17" s="5" t="s">
        <v>39</v>
      </c>
      <c r="G17" s="5" t="s">
        <v>40</v>
      </c>
      <c r="H17" s="5" t="s">
        <v>41</v>
      </c>
    </row>
    <row r="18" customFormat="false" ht="17.15" hidden="false" customHeight="false" outlineLevel="0" collapsed="false">
      <c r="A18" s="5" t="s">
        <v>15</v>
      </c>
      <c r="B18" s="0" t="s">
        <v>46</v>
      </c>
      <c r="C18" s="8" t="s">
        <v>36</v>
      </c>
      <c r="D18" s="0" t="s">
        <v>37</v>
      </c>
      <c r="E18" s="5" t="s">
        <v>38</v>
      </c>
      <c r="F18" s="5" t="s">
        <v>39</v>
      </c>
      <c r="G18" s="5" t="s">
        <v>40</v>
      </c>
      <c r="H18" s="5" t="s">
        <v>41</v>
      </c>
    </row>
    <row r="19" customFormat="false" ht="17.15" hidden="false" customHeight="false" outlineLevel="0" collapsed="false">
      <c r="A19" s="5" t="s">
        <v>15</v>
      </c>
      <c r="B19" s="0" t="s">
        <v>47</v>
      </c>
      <c r="C19" s="8" t="s">
        <v>36</v>
      </c>
      <c r="D19" s="0" t="s">
        <v>37</v>
      </c>
      <c r="E19" s="5" t="s">
        <v>38</v>
      </c>
      <c r="F19" s="5" t="s">
        <v>39</v>
      </c>
      <c r="G19" s="5" t="s">
        <v>40</v>
      </c>
      <c r="H19" s="5" t="s">
        <v>41</v>
      </c>
    </row>
    <row r="20" customFormat="false" ht="17.15" hidden="false" customHeight="false" outlineLevel="0" collapsed="false">
      <c r="A20" s="5" t="s">
        <v>15</v>
      </c>
      <c r="B20" s="0" t="s">
        <v>48</v>
      </c>
      <c r="C20" s="8" t="s">
        <v>36</v>
      </c>
      <c r="D20" s="0" t="s">
        <v>37</v>
      </c>
      <c r="E20" s="5" t="s">
        <v>38</v>
      </c>
      <c r="F20" s="5" t="s">
        <v>39</v>
      </c>
      <c r="G20" s="5" t="s">
        <v>40</v>
      </c>
      <c r="H20" s="5" t="s">
        <v>41</v>
      </c>
    </row>
    <row r="21" customFormat="false" ht="17.15" hidden="false" customHeight="false" outlineLevel="0" collapsed="false">
      <c r="A21" s="5" t="s">
        <v>15</v>
      </c>
      <c r="B21" s="0" t="s">
        <v>49</v>
      </c>
      <c r="C21" s="8" t="s">
        <v>36</v>
      </c>
      <c r="D21" s="0" t="s">
        <v>50</v>
      </c>
      <c r="E21" s="5" t="s">
        <v>51</v>
      </c>
      <c r="F21" s="5" t="s">
        <v>52</v>
      </c>
      <c r="G21" s="5" t="s">
        <v>21</v>
      </c>
    </row>
    <row r="22" customFormat="false" ht="17.15" hidden="false" customHeight="false" outlineLevel="0" collapsed="false">
      <c r="A22" s="5" t="s">
        <v>15</v>
      </c>
      <c r="B22" s="0" t="s">
        <v>53</v>
      </c>
      <c r="C22" s="8" t="s">
        <v>36</v>
      </c>
      <c r="D22" s="0" t="s">
        <v>54</v>
      </c>
      <c r="E22" s="5" t="s">
        <v>55</v>
      </c>
      <c r="F22" s="0" t="s">
        <v>56</v>
      </c>
      <c r="G22" s="5" t="s">
        <v>21</v>
      </c>
    </row>
    <row r="23" customFormat="false" ht="17.15" hidden="false" customHeight="false" outlineLevel="0" collapsed="false">
      <c r="A23" s="5" t="s">
        <v>15</v>
      </c>
      <c r="B23" s="0" t="s">
        <v>57</v>
      </c>
      <c r="C23" s="8" t="s">
        <v>36</v>
      </c>
      <c r="D23" s="0" t="s">
        <v>58</v>
      </c>
      <c r="E23" s="5" t="s">
        <v>59</v>
      </c>
      <c r="F23" s="0" t="s">
        <v>60</v>
      </c>
      <c r="G23" s="5" t="s">
        <v>21</v>
      </c>
    </row>
    <row r="24" customFormat="false" ht="17.15" hidden="false" customHeight="false" outlineLevel="0" collapsed="false">
      <c r="A24" s="5" t="s">
        <v>15</v>
      </c>
      <c r="B24" s="0" t="s">
        <v>61</v>
      </c>
      <c r="C24" s="8" t="s">
        <v>36</v>
      </c>
      <c r="D24" s="0" t="s">
        <v>62</v>
      </c>
      <c r="E24" s="5" t="s">
        <v>63</v>
      </c>
      <c r="F24" s="0" t="s">
        <v>64</v>
      </c>
      <c r="G24" s="5" t="s">
        <v>21</v>
      </c>
    </row>
    <row r="25" customFormat="false" ht="17.15" hidden="false" customHeight="false" outlineLevel="0" collapsed="false">
      <c r="A25" s="5" t="s">
        <v>65</v>
      </c>
      <c r="B25" s="0" t="s">
        <v>66</v>
      </c>
      <c r="C25" s="6" t="s">
        <v>17</v>
      </c>
      <c r="D25" s="0" t="s">
        <v>18</v>
      </c>
      <c r="E25" s="5" t="s">
        <v>67</v>
      </c>
      <c r="F25" s="0" t="s">
        <v>68</v>
      </c>
      <c r="G25" s="5" t="s">
        <v>21</v>
      </c>
    </row>
    <row r="26" customFormat="false" ht="15" hidden="false" customHeight="false" outlineLevel="0" collapsed="false">
      <c r="A26" s="5" t="s">
        <v>65</v>
      </c>
      <c r="B26" s="0" t="s">
        <v>69</v>
      </c>
      <c r="C26" s="6" t="s">
        <v>17</v>
      </c>
      <c r="D26" s="0" t="s">
        <v>18</v>
      </c>
      <c r="E26" s="5" t="s">
        <v>70</v>
      </c>
      <c r="F26" s="5" t="s">
        <v>71</v>
      </c>
      <c r="G26" s="5" t="s">
        <v>21</v>
      </c>
    </row>
    <row r="27" customFormat="false" ht="15" hidden="false" customHeight="false" outlineLevel="0" collapsed="false">
      <c r="A27" s="5" t="s">
        <v>65</v>
      </c>
      <c r="B27" s="0" t="s">
        <v>72</v>
      </c>
      <c r="C27" s="7" t="s">
        <v>31</v>
      </c>
      <c r="D27" s="0" t="s">
        <v>73</v>
      </c>
      <c r="E27" s="5" t="s">
        <v>74</v>
      </c>
      <c r="F27" s="5" t="s">
        <v>75</v>
      </c>
      <c r="G27" s="5" t="s">
        <v>21</v>
      </c>
    </row>
    <row r="28" customFormat="false" ht="17.15" hidden="false" customHeight="false" outlineLevel="0" collapsed="false">
      <c r="A28" s="5" t="s">
        <v>76</v>
      </c>
      <c r="B28" s="0" t="s">
        <v>77</v>
      </c>
      <c r="C28" s="9" t="s">
        <v>78</v>
      </c>
      <c r="D28" s="0" t="s">
        <v>79</v>
      </c>
      <c r="E28" s="0" t="s">
        <v>80</v>
      </c>
      <c r="F28" s="0" t="s">
        <v>81</v>
      </c>
      <c r="G28" s="5" t="s">
        <v>40</v>
      </c>
    </row>
    <row r="29" customFormat="false" ht="17.15" hidden="false" customHeight="false" outlineLevel="0" collapsed="false">
      <c r="A29" s="5" t="s">
        <v>76</v>
      </c>
      <c r="B29" s="0" t="s">
        <v>82</v>
      </c>
      <c r="C29" s="9" t="s">
        <v>78</v>
      </c>
      <c r="D29" s="0" t="s">
        <v>79</v>
      </c>
      <c r="E29" s="0" t="s">
        <v>83</v>
      </c>
      <c r="F29" s="0" t="s">
        <v>84</v>
      </c>
      <c r="G29" s="5" t="s">
        <v>40</v>
      </c>
    </row>
    <row r="30" customFormat="false" ht="17.15" hidden="false" customHeight="false" outlineLevel="0" collapsed="false">
      <c r="A30" s="5" t="s">
        <v>76</v>
      </c>
      <c r="B30" s="0" t="s">
        <v>85</v>
      </c>
      <c r="C30" s="9" t="s">
        <v>78</v>
      </c>
      <c r="D30" s="0" t="s">
        <v>79</v>
      </c>
      <c r="E30" s="0" t="s">
        <v>86</v>
      </c>
      <c r="F30" s="0" t="s">
        <v>87</v>
      </c>
      <c r="G30" s="5" t="s">
        <v>40</v>
      </c>
    </row>
    <row r="31" customFormat="false" ht="17.15" hidden="false" customHeight="false" outlineLevel="0" collapsed="false">
      <c r="A31" s="5" t="s">
        <v>76</v>
      </c>
      <c r="B31" s="0" t="s">
        <v>88</v>
      </c>
      <c r="C31" s="9" t="s">
        <v>78</v>
      </c>
      <c r="D31" s="0" t="s">
        <v>79</v>
      </c>
      <c r="E31" s="0" t="s">
        <v>89</v>
      </c>
      <c r="F31" s="0" t="s">
        <v>90</v>
      </c>
      <c r="G31" s="5" t="s">
        <v>40</v>
      </c>
    </row>
    <row r="32" customFormat="false" ht="17.15" hidden="false" customHeight="false" outlineLevel="0" collapsed="false">
      <c r="A32" s="5" t="s">
        <v>76</v>
      </c>
      <c r="B32" s="0" t="s">
        <v>91</v>
      </c>
      <c r="C32" s="9" t="s">
        <v>78</v>
      </c>
      <c r="D32" s="0" t="s">
        <v>79</v>
      </c>
      <c r="E32" s="0" t="s">
        <v>92</v>
      </c>
      <c r="F32" s="0" t="s">
        <v>93</v>
      </c>
      <c r="G32" s="5" t="s">
        <v>40</v>
      </c>
    </row>
    <row r="33" customFormat="false" ht="17.15" hidden="false" customHeight="false" outlineLevel="0" collapsed="false">
      <c r="A33" s="5" t="s">
        <v>76</v>
      </c>
      <c r="B33" s="0" t="s">
        <v>94</v>
      </c>
      <c r="C33" s="9" t="s">
        <v>78</v>
      </c>
      <c r="D33" s="0" t="s">
        <v>95</v>
      </c>
      <c r="E33" s="0" t="s">
        <v>96</v>
      </c>
      <c r="F33" s="5" t="s">
        <v>97</v>
      </c>
      <c r="G33" s="5" t="s">
        <v>40</v>
      </c>
    </row>
    <row r="34" customFormat="false" ht="17.15" hidden="false" customHeight="false" outlineLevel="0" collapsed="false">
      <c r="A34" s="5" t="s">
        <v>76</v>
      </c>
      <c r="B34" s="0" t="s">
        <v>98</v>
      </c>
      <c r="C34" s="9" t="s">
        <v>78</v>
      </c>
      <c r="D34" s="0" t="s">
        <v>95</v>
      </c>
      <c r="E34" s="0" t="s">
        <v>99</v>
      </c>
      <c r="F34" s="5" t="s">
        <v>100</v>
      </c>
      <c r="G34" s="5" t="s">
        <v>40</v>
      </c>
    </row>
    <row r="35" customFormat="false" ht="17.15" hidden="false" customHeight="false" outlineLevel="0" collapsed="false">
      <c r="A35" s="5" t="s">
        <v>76</v>
      </c>
      <c r="B35" s="0" t="s">
        <v>101</v>
      </c>
      <c r="C35" s="9" t="s">
        <v>78</v>
      </c>
      <c r="D35" s="0" t="s">
        <v>102</v>
      </c>
      <c r="E35" s="0" t="s">
        <v>103</v>
      </c>
      <c r="F35" s="0" t="s">
        <v>104</v>
      </c>
      <c r="G35" s="5" t="s">
        <v>40</v>
      </c>
    </row>
    <row r="36" customFormat="false" ht="15" hidden="false" customHeight="false" outlineLevel="0" collapsed="false">
      <c r="A36" s="5" t="s">
        <v>76</v>
      </c>
      <c r="B36" s="0" t="s">
        <v>105</v>
      </c>
      <c r="C36" s="9" t="s">
        <v>78</v>
      </c>
      <c r="D36" s="0" t="s">
        <v>102</v>
      </c>
      <c r="E36" s="0" t="s">
        <v>106</v>
      </c>
      <c r="F36" s="5" t="s">
        <v>107</v>
      </c>
      <c r="G36" s="5" t="s">
        <v>40</v>
      </c>
    </row>
    <row r="37" customFormat="false" ht="15" hidden="false" customHeight="false" outlineLevel="0" collapsed="false">
      <c r="A37" s="5" t="s">
        <v>76</v>
      </c>
      <c r="B37" s="0" t="s">
        <v>108</v>
      </c>
      <c r="C37" s="9" t="s">
        <v>78</v>
      </c>
      <c r="D37" s="0" t="s">
        <v>109</v>
      </c>
      <c r="E37" s="0" t="s">
        <v>110</v>
      </c>
      <c r="F37" s="5" t="s">
        <v>111</v>
      </c>
      <c r="G37" s="5" t="s">
        <v>40</v>
      </c>
    </row>
    <row r="38" customFormat="false" ht="17.15" hidden="false" customHeight="false" outlineLevel="0" collapsed="false">
      <c r="A38" s="5" t="s">
        <v>76</v>
      </c>
      <c r="B38" s="0" t="s">
        <v>112</v>
      </c>
      <c r="C38" s="9" t="s">
        <v>78</v>
      </c>
      <c r="D38" s="0" t="s">
        <v>113</v>
      </c>
      <c r="E38" s="0" t="s">
        <v>114</v>
      </c>
      <c r="F38" s="5" t="s">
        <v>115</v>
      </c>
      <c r="G38" s="5" t="s">
        <v>40</v>
      </c>
    </row>
    <row r="39" customFormat="false" ht="17.15" hidden="false" customHeight="false" outlineLevel="0" collapsed="false">
      <c r="A39" s="5" t="s">
        <v>76</v>
      </c>
      <c r="B39" s="0" t="s">
        <v>116</v>
      </c>
      <c r="C39" s="9" t="s">
        <v>78</v>
      </c>
      <c r="D39" s="0" t="s">
        <v>117</v>
      </c>
      <c r="E39" s="0" t="s">
        <v>118</v>
      </c>
      <c r="F39" s="5" t="s">
        <v>119</v>
      </c>
      <c r="G39" s="5" t="s">
        <v>40</v>
      </c>
    </row>
    <row r="40" customFormat="false" ht="17.15" hidden="false" customHeight="false" outlineLevel="0" collapsed="false">
      <c r="A40" s="5" t="s">
        <v>76</v>
      </c>
      <c r="B40" s="0" t="s">
        <v>35</v>
      </c>
      <c r="C40" s="8" t="s">
        <v>36</v>
      </c>
      <c r="D40" s="0" t="s">
        <v>54</v>
      </c>
      <c r="E40" s="0" t="s">
        <v>120</v>
      </c>
      <c r="F40" s="0" t="s">
        <v>121</v>
      </c>
      <c r="G40" s="5" t="s">
        <v>21</v>
      </c>
    </row>
    <row r="41" customFormat="false" ht="17.15" hidden="false" customHeight="false" outlineLevel="0" collapsed="false">
      <c r="A41" s="5" t="s">
        <v>76</v>
      </c>
      <c r="B41" s="0" t="s">
        <v>122</v>
      </c>
      <c r="C41" s="9" t="s">
        <v>78</v>
      </c>
      <c r="D41" s="0" t="s">
        <v>102</v>
      </c>
      <c r="E41" s="0" t="s">
        <v>123</v>
      </c>
      <c r="F41" s="5" t="s">
        <v>124</v>
      </c>
      <c r="G41" s="5" t="s">
        <v>40</v>
      </c>
    </row>
    <row r="42" customFormat="false" ht="17.15" hidden="false" customHeight="false" outlineLevel="0" collapsed="false">
      <c r="A42" s="5" t="s">
        <v>125</v>
      </c>
      <c r="B42" s="0" t="s">
        <v>126</v>
      </c>
      <c r="C42" s="8" t="s">
        <v>36</v>
      </c>
      <c r="D42" s="0" t="s">
        <v>50</v>
      </c>
      <c r="E42" s="0" t="s">
        <v>127</v>
      </c>
      <c r="F42" s="0" t="s">
        <v>128</v>
      </c>
      <c r="G42" s="5" t="s">
        <v>21</v>
      </c>
    </row>
    <row r="43" customFormat="false" ht="17.15" hidden="false" customHeight="false" outlineLevel="0" collapsed="false">
      <c r="A43" s="5" t="s">
        <v>125</v>
      </c>
      <c r="B43" s="0" t="s">
        <v>129</v>
      </c>
      <c r="C43" s="8" t="s">
        <v>36</v>
      </c>
      <c r="D43" s="0" t="s">
        <v>50</v>
      </c>
      <c r="E43" s="0" t="s">
        <v>130</v>
      </c>
      <c r="F43" s="0" t="s">
        <v>131</v>
      </c>
      <c r="G43" s="5" t="s">
        <v>21</v>
      </c>
    </row>
    <row r="44" customFormat="false" ht="17.15" hidden="false" customHeight="false" outlineLevel="0" collapsed="false">
      <c r="A44" s="5" t="s">
        <v>125</v>
      </c>
      <c r="B44" s="0" t="s">
        <v>132</v>
      </c>
      <c r="C44" s="8" t="s">
        <v>36</v>
      </c>
      <c r="D44" s="0" t="s">
        <v>54</v>
      </c>
      <c r="E44" s="0" t="s">
        <v>133</v>
      </c>
      <c r="F44" s="0" t="s">
        <v>134</v>
      </c>
      <c r="G44" s="5" t="s">
        <v>21</v>
      </c>
    </row>
    <row r="45" customFormat="false" ht="17.15" hidden="false" customHeight="false" outlineLevel="0" collapsed="false">
      <c r="A45" s="5" t="s">
        <v>125</v>
      </c>
      <c r="B45" s="0" t="s">
        <v>135</v>
      </c>
      <c r="C45" s="8" t="s">
        <v>36</v>
      </c>
      <c r="D45" s="0" t="s">
        <v>50</v>
      </c>
      <c r="E45" s="0" t="s">
        <v>136</v>
      </c>
      <c r="F45" s="0" t="s">
        <v>137</v>
      </c>
      <c r="G45" s="5" t="s">
        <v>21</v>
      </c>
    </row>
    <row r="46" customFormat="false" ht="17.15" hidden="false" customHeight="false" outlineLevel="0" collapsed="false">
      <c r="A46" s="5" t="s">
        <v>125</v>
      </c>
      <c r="B46" s="0" t="s">
        <v>66</v>
      </c>
      <c r="C46" s="8" t="s">
        <v>36</v>
      </c>
      <c r="D46" s="0" t="s">
        <v>50</v>
      </c>
      <c r="E46" s="0" t="s">
        <v>138</v>
      </c>
      <c r="F46" s="0" t="s">
        <v>139</v>
      </c>
      <c r="G46" s="5" t="s">
        <v>21</v>
      </c>
    </row>
    <row r="47" customFormat="false" ht="17.15" hidden="false" customHeight="false" outlineLevel="0" collapsed="false">
      <c r="A47" s="5" t="s">
        <v>125</v>
      </c>
      <c r="B47" s="0" t="s">
        <v>140</v>
      </c>
      <c r="C47" s="9" t="s">
        <v>78</v>
      </c>
      <c r="D47" s="0" t="s">
        <v>95</v>
      </c>
      <c r="E47" s="0" t="s">
        <v>141</v>
      </c>
      <c r="F47" s="0" t="s">
        <v>142</v>
      </c>
      <c r="G47" s="5" t="s">
        <v>40</v>
      </c>
    </row>
    <row r="48" customFormat="false" ht="17.15" hidden="false" customHeight="false" outlineLevel="0" collapsed="false">
      <c r="A48" s="5" t="s">
        <v>125</v>
      </c>
      <c r="B48" s="0" t="s">
        <v>143</v>
      </c>
      <c r="C48" s="9" t="s">
        <v>78</v>
      </c>
      <c r="D48" s="0" t="s">
        <v>79</v>
      </c>
      <c r="E48" s="0" t="s">
        <v>144</v>
      </c>
      <c r="F48" s="0" t="s">
        <v>145</v>
      </c>
      <c r="G48" s="5" t="s">
        <v>40</v>
      </c>
    </row>
    <row r="49" customFormat="false" ht="17.15" hidden="false" customHeight="false" outlineLevel="0" collapsed="false">
      <c r="A49" s="5" t="s">
        <v>125</v>
      </c>
      <c r="B49" s="0" t="s">
        <v>146</v>
      </c>
      <c r="C49" s="8" t="s">
        <v>36</v>
      </c>
      <c r="D49" s="0" t="s">
        <v>50</v>
      </c>
      <c r="E49" s="0" t="s">
        <v>147</v>
      </c>
      <c r="F49" s="0" t="s">
        <v>148</v>
      </c>
      <c r="G49" s="5" t="s">
        <v>21</v>
      </c>
    </row>
    <row r="50" customFormat="false" ht="17.15" hidden="false" customHeight="false" outlineLevel="0" collapsed="false">
      <c r="A50" s="5" t="s">
        <v>125</v>
      </c>
      <c r="B50" s="0" t="s">
        <v>69</v>
      </c>
      <c r="C50" s="8" t="s">
        <v>36</v>
      </c>
      <c r="D50" s="0" t="s">
        <v>54</v>
      </c>
      <c r="E50" s="0" t="s">
        <v>149</v>
      </c>
      <c r="F50" s="0" t="s">
        <v>150</v>
      </c>
      <c r="G50" s="5" t="s">
        <v>21</v>
      </c>
    </row>
    <row r="51" customFormat="false" ht="15" hidden="false" customHeight="false" outlineLevel="0" collapsed="false">
      <c r="A51" s="5" t="s">
        <v>125</v>
      </c>
      <c r="B51" s="0" t="s">
        <v>151</v>
      </c>
      <c r="C51" s="9" t="s">
        <v>78</v>
      </c>
      <c r="D51" s="0" t="s">
        <v>113</v>
      </c>
      <c r="E51" s="0" t="s">
        <v>152</v>
      </c>
      <c r="F51" s="5" t="s">
        <v>153</v>
      </c>
      <c r="G51" s="5" t="s">
        <v>40</v>
      </c>
    </row>
    <row r="52" customFormat="false" ht="17.15" hidden="false" customHeight="false" outlineLevel="0" collapsed="false">
      <c r="A52" s="5" t="s">
        <v>154</v>
      </c>
      <c r="B52" s="0" t="s">
        <v>155</v>
      </c>
      <c r="C52" s="6" t="s">
        <v>17</v>
      </c>
      <c r="D52" s="0" t="s">
        <v>27</v>
      </c>
      <c r="E52" s="5" t="s">
        <v>156</v>
      </c>
      <c r="F52" s="5" t="s">
        <v>157</v>
      </c>
      <c r="G52" s="5" t="s">
        <v>21</v>
      </c>
    </row>
    <row r="53" customFormat="false" ht="17.15" hidden="false" customHeight="false" outlineLevel="0" collapsed="false">
      <c r="A53" s="5" t="s">
        <v>154</v>
      </c>
      <c r="B53" s="0" t="s">
        <v>101</v>
      </c>
      <c r="C53" s="8" t="s">
        <v>36</v>
      </c>
      <c r="D53" s="0" t="s">
        <v>37</v>
      </c>
      <c r="E53" s="5" t="s">
        <v>158</v>
      </c>
      <c r="F53" s="0" t="s">
        <v>159</v>
      </c>
      <c r="G53" s="5" t="s">
        <v>40</v>
      </c>
    </row>
    <row r="54" customFormat="false" ht="17.15" hidden="false" customHeight="false" outlineLevel="0" collapsed="false">
      <c r="A54" s="5" t="s">
        <v>154</v>
      </c>
      <c r="B54" s="0" t="s">
        <v>160</v>
      </c>
      <c r="C54" s="8" t="s">
        <v>36</v>
      </c>
      <c r="D54" s="0" t="s">
        <v>37</v>
      </c>
      <c r="E54" s="5" t="s">
        <v>158</v>
      </c>
      <c r="F54" s="0" t="s">
        <v>159</v>
      </c>
      <c r="G54" s="5" t="s">
        <v>40</v>
      </c>
    </row>
    <row r="55" customFormat="false" ht="17.15" hidden="false" customHeight="false" outlineLevel="0" collapsed="false">
      <c r="A55" s="5" t="s">
        <v>154</v>
      </c>
      <c r="B55" s="0" t="s">
        <v>146</v>
      </c>
      <c r="C55" s="8" t="s">
        <v>36</v>
      </c>
      <c r="D55" s="0" t="s">
        <v>37</v>
      </c>
      <c r="E55" s="5" t="s">
        <v>158</v>
      </c>
      <c r="F55" s="0" t="s">
        <v>159</v>
      </c>
      <c r="G55" s="5" t="s">
        <v>40</v>
      </c>
    </row>
    <row r="56" customFormat="false" ht="17.15" hidden="false" customHeight="false" outlineLevel="0" collapsed="false">
      <c r="A56" s="5" t="s">
        <v>154</v>
      </c>
      <c r="B56" s="0" t="s">
        <v>161</v>
      </c>
      <c r="C56" s="8" t="s">
        <v>36</v>
      </c>
      <c r="D56" s="0" t="s">
        <v>37</v>
      </c>
      <c r="E56" s="5" t="s">
        <v>158</v>
      </c>
      <c r="F56" s="0" t="s">
        <v>159</v>
      </c>
      <c r="G56" s="5" t="s">
        <v>40</v>
      </c>
    </row>
    <row r="57" customFormat="false" ht="17.15" hidden="false" customHeight="false" outlineLevel="0" collapsed="false">
      <c r="A57" s="5" t="s">
        <v>154</v>
      </c>
      <c r="B57" s="0" t="s">
        <v>162</v>
      </c>
      <c r="C57" s="8" t="s">
        <v>36</v>
      </c>
      <c r="D57" s="0" t="s">
        <v>37</v>
      </c>
      <c r="E57" s="5" t="s">
        <v>158</v>
      </c>
      <c r="F57" s="0" t="s">
        <v>159</v>
      </c>
      <c r="G57" s="5" t="s">
        <v>40</v>
      </c>
    </row>
    <row r="58" customFormat="false" ht="17.15" hidden="false" customHeight="false" outlineLevel="0" collapsed="false">
      <c r="A58" s="5" t="s">
        <v>154</v>
      </c>
      <c r="B58" s="0" t="s">
        <v>69</v>
      </c>
      <c r="C58" s="6" t="s">
        <v>17</v>
      </c>
      <c r="D58" s="0" t="s">
        <v>23</v>
      </c>
      <c r="E58" s="0" t="s">
        <v>163</v>
      </c>
      <c r="F58" s="5" t="s">
        <v>164</v>
      </c>
      <c r="G58" s="5" t="s">
        <v>21</v>
      </c>
    </row>
    <row r="59" customFormat="false" ht="17.15" hidden="false" customHeight="false" outlineLevel="0" collapsed="false">
      <c r="A59" s="5" t="s">
        <v>154</v>
      </c>
      <c r="B59" s="0" t="s">
        <v>165</v>
      </c>
      <c r="C59" s="6" t="s">
        <v>17</v>
      </c>
      <c r="D59" s="0" t="s">
        <v>27</v>
      </c>
      <c r="E59" s="5" t="s">
        <v>166</v>
      </c>
      <c r="F59" s="5" t="s">
        <v>167</v>
      </c>
      <c r="G59" s="5" t="s">
        <v>21</v>
      </c>
    </row>
    <row r="60" customFormat="false" ht="17.15" hidden="false" customHeight="false" outlineLevel="0" collapsed="false">
      <c r="A60" s="5" t="s">
        <v>154</v>
      </c>
      <c r="B60" s="0" t="s">
        <v>168</v>
      </c>
      <c r="C60" s="6" t="s">
        <v>17</v>
      </c>
      <c r="D60" s="0" t="s">
        <v>27</v>
      </c>
      <c r="E60" s="5" t="s">
        <v>169</v>
      </c>
      <c r="F60" s="5" t="s">
        <v>170</v>
      </c>
      <c r="G60" s="5" t="s">
        <v>21</v>
      </c>
    </row>
    <row r="61" customFormat="false" ht="15" hidden="false" customHeight="false" outlineLevel="0" collapsed="false">
      <c r="A61" s="5" t="s">
        <v>171</v>
      </c>
      <c r="B61" s="0" t="s">
        <v>172</v>
      </c>
      <c r="C61" s="6" t="s">
        <v>17</v>
      </c>
      <c r="D61" s="0" t="s">
        <v>18</v>
      </c>
      <c r="E61" s="5" t="s">
        <v>173</v>
      </c>
      <c r="F61" s="5" t="s">
        <v>174</v>
      </c>
      <c r="G61" s="5" t="s">
        <v>40</v>
      </c>
      <c r="H61" s="5" t="s">
        <v>175</v>
      </c>
    </row>
    <row r="62" customFormat="false" ht="15" hidden="false" customHeight="false" outlineLevel="0" collapsed="false">
      <c r="A62" s="5" t="s">
        <v>171</v>
      </c>
      <c r="B62" s="0" t="s">
        <v>143</v>
      </c>
      <c r="C62" s="6" t="s">
        <v>17</v>
      </c>
      <c r="D62" s="0" t="s">
        <v>18</v>
      </c>
      <c r="E62" s="5" t="s">
        <v>176</v>
      </c>
      <c r="F62" s="5" t="s">
        <v>177</v>
      </c>
      <c r="G62" s="5" t="s">
        <v>40</v>
      </c>
      <c r="H62" s="5" t="s">
        <v>175</v>
      </c>
    </row>
    <row r="63" customFormat="false" ht="15" hidden="false" customHeight="false" outlineLevel="0" collapsed="false">
      <c r="A63" s="5" t="s">
        <v>171</v>
      </c>
      <c r="B63" s="0" t="s">
        <v>105</v>
      </c>
      <c r="C63" s="9" t="s">
        <v>78</v>
      </c>
      <c r="D63" s="0" t="s">
        <v>178</v>
      </c>
      <c r="E63" s="5" t="s">
        <v>179</v>
      </c>
      <c r="F63" s="5" t="s">
        <v>180</v>
      </c>
      <c r="G63" s="5" t="s">
        <v>40</v>
      </c>
    </row>
    <row r="64" customFormat="false" ht="17.15" hidden="false" customHeight="false" outlineLevel="0" collapsed="false">
      <c r="A64" s="5" t="s">
        <v>171</v>
      </c>
      <c r="B64" s="0" t="s">
        <v>108</v>
      </c>
      <c r="C64" s="9" t="s">
        <v>78</v>
      </c>
      <c r="D64" s="0" t="s">
        <v>178</v>
      </c>
      <c r="E64" s="5" t="s">
        <v>181</v>
      </c>
      <c r="F64" s="0" t="s">
        <v>182</v>
      </c>
      <c r="G64" s="5" t="s">
        <v>40</v>
      </c>
    </row>
    <row r="65" customFormat="false" ht="17.15" hidden="false" customHeight="false" outlineLevel="0" collapsed="false">
      <c r="A65" s="5" t="s">
        <v>171</v>
      </c>
      <c r="B65" s="0" t="s">
        <v>183</v>
      </c>
      <c r="C65" s="7" t="s">
        <v>31</v>
      </c>
      <c r="D65" s="0" t="s">
        <v>184</v>
      </c>
      <c r="E65" s="5" t="s">
        <v>185</v>
      </c>
      <c r="F65" s="0" t="s">
        <v>186</v>
      </c>
      <c r="G65" s="5" t="s">
        <v>21</v>
      </c>
    </row>
    <row r="66" customFormat="false" ht="15" hidden="false" customHeight="false" outlineLevel="0" collapsed="false">
      <c r="A66" s="5" t="s">
        <v>187</v>
      </c>
      <c r="B66" s="0" t="s">
        <v>188</v>
      </c>
      <c r="C66" s="9" t="s">
        <v>78</v>
      </c>
      <c r="D66" s="0" t="s">
        <v>189</v>
      </c>
      <c r="E66" s="5" t="s">
        <v>190</v>
      </c>
      <c r="F66" s="5" t="s">
        <v>191</v>
      </c>
      <c r="G66" s="5" t="s">
        <v>40</v>
      </c>
    </row>
    <row r="67" customFormat="false" ht="15" hidden="false" customHeight="false" outlineLevel="0" collapsed="false">
      <c r="A67" s="5" t="s">
        <v>187</v>
      </c>
      <c r="B67" s="0" t="s">
        <v>192</v>
      </c>
      <c r="C67" s="9" t="s">
        <v>78</v>
      </c>
      <c r="D67" s="0" t="s">
        <v>189</v>
      </c>
      <c r="E67" s="5" t="s">
        <v>193</v>
      </c>
      <c r="F67" s="5" t="s">
        <v>194</v>
      </c>
      <c r="G67" s="5" t="s">
        <v>40</v>
      </c>
    </row>
    <row r="68" customFormat="false" ht="15" hidden="false" customHeight="false" outlineLevel="0" collapsed="false">
      <c r="A68" s="5" t="s">
        <v>187</v>
      </c>
      <c r="B68" s="0" t="s">
        <v>155</v>
      </c>
      <c r="C68" s="9" t="s">
        <v>78</v>
      </c>
      <c r="D68" s="0" t="s">
        <v>189</v>
      </c>
      <c r="E68" s="5" t="s">
        <v>195</v>
      </c>
      <c r="F68" s="5" t="s">
        <v>196</v>
      </c>
      <c r="G68" s="5" t="s">
        <v>40</v>
      </c>
    </row>
    <row r="69" customFormat="false" ht="17.15" hidden="false" customHeight="false" outlineLevel="0" collapsed="false">
      <c r="A69" s="5" t="s">
        <v>187</v>
      </c>
      <c r="B69" s="0" t="s">
        <v>197</v>
      </c>
      <c r="C69" s="9" t="s">
        <v>78</v>
      </c>
      <c r="D69" s="0" t="s">
        <v>189</v>
      </c>
      <c r="E69" s="5" t="s">
        <v>198</v>
      </c>
      <c r="F69" s="5" t="s">
        <v>199</v>
      </c>
      <c r="G69" s="5" t="s">
        <v>40</v>
      </c>
    </row>
    <row r="70" customFormat="false" ht="15" hidden="false" customHeight="false" outlineLevel="0" collapsed="false">
      <c r="A70" s="5" t="s">
        <v>200</v>
      </c>
      <c r="B70" s="0" t="s">
        <v>201</v>
      </c>
      <c r="C70" s="6" t="s">
        <v>17</v>
      </c>
      <c r="D70" s="0" t="s">
        <v>18</v>
      </c>
      <c r="E70" s="5" t="s">
        <v>202</v>
      </c>
      <c r="F70" s="5" t="s">
        <v>203</v>
      </c>
      <c r="G70" s="5" t="s">
        <v>21</v>
      </c>
    </row>
    <row r="71" customFormat="false" ht="15" hidden="false" customHeight="false" outlineLevel="0" collapsed="false">
      <c r="A71" s="5" t="s">
        <v>200</v>
      </c>
      <c r="B71" s="0" t="s">
        <v>204</v>
      </c>
      <c r="C71" s="6" t="s">
        <v>17</v>
      </c>
      <c r="D71" s="0" t="s">
        <v>18</v>
      </c>
      <c r="E71" s="5" t="s">
        <v>202</v>
      </c>
      <c r="F71" s="5" t="s">
        <v>203</v>
      </c>
      <c r="G71" s="5" t="s">
        <v>21</v>
      </c>
    </row>
    <row r="72" customFormat="false" ht="15" hidden="false" customHeight="false" outlineLevel="0" collapsed="false">
      <c r="A72" s="5" t="s">
        <v>200</v>
      </c>
      <c r="B72" s="0" t="s">
        <v>205</v>
      </c>
      <c r="C72" s="6" t="s">
        <v>17</v>
      </c>
      <c r="D72" s="0" t="s">
        <v>18</v>
      </c>
      <c r="E72" s="5" t="s">
        <v>202</v>
      </c>
      <c r="F72" s="5" t="s">
        <v>203</v>
      </c>
      <c r="G72" s="5" t="s">
        <v>21</v>
      </c>
    </row>
    <row r="73" customFormat="false" ht="17.15" hidden="false" customHeight="false" outlineLevel="0" collapsed="false">
      <c r="A73" s="5" t="s">
        <v>200</v>
      </c>
      <c r="B73" s="0" t="s">
        <v>206</v>
      </c>
      <c r="C73" s="6" t="s">
        <v>17</v>
      </c>
      <c r="D73" s="0" t="s">
        <v>23</v>
      </c>
      <c r="E73" s="5" t="s">
        <v>207</v>
      </c>
      <c r="F73" s="5" t="s">
        <v>208</v>
      </c>
      <c r="G73" s="5" t="s">
        <v>21</v>
      </c>
    </row>
  </sheetData>
  <autoFilter ref="A1:H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4"/>
  </cols>
  <sheetData>
    <row r="1" customFormat="false" ht="23.85" hidden="false" customHeight="true" outlineLevel="0" collapsed="false">
      <c r="A1" s="10" t="s">
        <v>209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7.15" hidden="false" customHeight="true" outlineLevel="0" collapsed="false">
      <c r="A2" s="11" t="s">
        <v>210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17.15" hidden="false" customHeight="false" outlineLevel="0" collapsed="false">
      <c r="A4" s="12" t="s">
        <v>211</v>
      </c>
      <c r="B4" s="13" t="s">
        <v>212</v>
      </c>
      <c r="C4" s="13" t="s">
        <v>213</v>
      </c>
      <c r="D4" s="13" t="s">
        <v>214</v>
      </c>
      <c r="E4" s="13" t="s">
        <v>215</v>
      </c>
      <c r="F4" s="13" t="s">
        <v>216</v>
      </c>
      <c r="G4" s="13" t="s">
        <v>217</v>
      </c>
      <c r="H4" s="13" t="s">
        <v>218</v>
      </c>
      <c r="I4" s="13" t="s">
        <v>219</v>
      </c>
    </row>
    <row r="5" customFormat="false" ht="15" hidden="false" customHeight="false" outlineLevel="0" collapsed="false">
      <c r="A5" s="14" t="s">
        <v>220</v>
      </c>
      <c r="B5" s="15" t="n">
        <v>120</v>
      </c>
      <c r="C5" s="15" t="n">
        <v>130</v>
      </c>
      <c r="D5" s="15" t="n">
        <v>140</v>
      </c>
      <c r="E5" s="15" t="n">
        <v>150</v>
      </c>
      <c r="F5" s="15" t="n">
        <v>160</v>
      </c>
      <c r="G5" s="15" t="n">
        <v>170</v>
      </c>
      <c r="H5" s="15" t="n">
        <v>180</v>
      </c>
      <c r="I5" s="15" t="n">
        <v>190</v>
      </c>
    </row>
    <row r="6" customFormat="false" ht="15" hidden="false" customHeight="false" outlineLevel="0" collapsed="false">
      <c r="A6" s="14" t="s">
        <v>221</v>
      </c>
      <c r="B6" s="15" t="n">
        <v>50</v>
      </c>
      <c r="C6" s="15" t="n">
        <v>55</v>
      </c>
      <c r="D6" s="15" t="n">
        <v>60</v>
      </c>
      <c r="E6" s="15" t="n">
        <v>65</v>
      </c>
      <c r="F6" s="15" t="n">
        <v>70</v>
      </c>
      <c r="G6" s="15" t="n">
        <v>75</v>
      </c>
      <c r="H6" s="15" t="n">
        <v>80</v>
      </c>
      <c r="I6" s="15" t="n">
        <v>85</v>
      </c>
    </row>
    <row r="7" customFormat="false" ht="15" hidden="false" customHeight="false" outlineLevel="0" collapsed="false">
      <c r="A7" s="16" t="s">
        <v>222</v>
      </c>
      <c r="B7" s="17" t="n">
        <v>0.1</v>
      </c>
      <c r="C7" s="17" t="n">
        <v>0.1</v>
      </c>
      <c r="D7" s="17" t="n">
        <v>0.1</v>
      </c>
      <c r="E7" s="17" t="n">
        <v>0.1</v>
      </c>
      <c r="F7" s="17" t="n">
        <v>0.1</v>
      </c>
      <c r="G7" s="17" t="n">
        <v>0.1</v>
      </c>
      <c r="H7" s="17" t="n">
        <v>0.1</v>
      </c>
      <c r="I7" s="17" t="n">
        <v>0.1</v>
      </c>
      <c r="J7" s="18"/>
      <c r="K7" s="18"/>
      <c r="L7" s="18"/>
      <c r="M7" s="18"/>
    </row>
    <row r="9" customFormat="false" ht="15" hidden="false" customHeight="false" outlineLevel="0" collapsed="false">
      <c r="A9" s="14" t="s">
        <v>223</v>
      </c>
      <c r="B9" s="19" t="n">
        <f aca="false">B5-B6</f>
        <v>70</v>
      </c>
      <c r="C9" s="19" t="n">
        <f aca="false">C5-C6</f>
        <v>75</v>
      </c>
      <c r="D9" s="19" t="n">
        <f aca="false">D5-D6</f>
        <v>80</v>
      </c>
      <c r="E9" s="20" t="n">
        <v>1250</v>
      </c>
      <c r="F9" s="19" t="n">
        <f aca="false">F5-F6</f>
        <v>90</v>
      </c>
      <c r="G9" s="19" t="n">
        <f aca="false">G5-G6</f>
        <v>95</v>
      </c>
      <c r="H9" s="19" t="n">
        <f aca="false">H5-H6</f>
        <v>100</v>
      </c>
      <c r="I9" s="19" t="n">
        <f aca="false">I5-I6</f>
        <v>105</v>
      </c>
    </row>
    <row r="11" customFormat="false" ht="15" hidden="false" customHeight="false" outlineLevel="0" collapsed="false">
      <c r="A11" s="14" t="s">
        <v>224</v>
      </c>
      <c r="B11" s="19" t="n">
        <f aca="false">B5-B6</f>
        <v>70</v>
      </c>
      <c r="C11" s="19" t="n">
        <f aca="false">C5-C6</f>
        <v>75</v>
      </c>
      <c r="D11" s="19" t="n">
        <f aca="false">D5-D6</f>
        <v>80</v>
      </c>
      <c r="E11" s="19" t="n">
        <f aca="false">E5-E6</f>
        <v>85</v>
      </c>
      <c r="F11" s="20" t="n">
        <f aca="false">F5-F6+100</f>
        <v>190</v>
      </c>
      <c r="G11" s="19" t="n">
        <f aca="false">G5-G6</f>
        <v>95</v>
      </c>
      <c r="H11" s="19" t="n">
        <f aca="false">H5-H6</f>
        <v>100</v>
      </c>
      <c r="I11" s="19" t="n">
        <f aca="false">I5-I6</f>
        <v>105</v>
      </c>
    </row>
    <row r="13" customFormat="false" ht="15" hidden="false" customHeight="false" outlineLevel="0" collapsed="false">
      <c r="A13" s="14" t="s">
        <v>225</v>
      </c>
      <c r="B13" s="19" t="n">
        <f aca="false">B9*(1-B7)</f>
        <v>63</v>
      </c>
      <c r="C13" s="19" t="n">
        <f aca="false">C9*(1-C7)</f>
        <v>67.5</v>
      </c>
      <c r="D13" s="19" t="n">
        <f aca="false">D9*(1-D7)</f>
        <v>72</v>
      </c>
      <c r="E13" s="19" t="n">
        <f aca="false">E9*(1-E7)</f>
        <v>1125</v>
      </c>
      <c r="F13" s="19" t="n">
        <f aca="false">F9*(1-F7)</f>
        <v>81</v>
      </c>
      <c r="G13" s="20" t="n">
        <f aca="false">G9*(1-0.15)</f>
        <v>80.75</v>
      </c>
      <c r="H13" s="19" t="n">
        <f aca="false">H9*(1-H7)</f>
        <v>90</v>
      </c>
      <c r="I13" s="19" t="n">
        <f aca="false">I9*(1-I7)</f>
        <v>94.5</v>
      </c>
    </row>
    <row r="15" customFormat="false" ht="15" hidden="false" customHeight="false" outlineLevel="0" collapsed="false">
      <c r="A15" s="14" t="s">
        <v>226</v>
      </c>
      <c r="B15" s="19" t="n">
        <f aca="false">B5*1.1</f>
        <v>132</v>
      </c>
      <c r="C15" s="19" t="n">
        <f aca="false">C5*1.1</f>
        <v>143</v>
      </c>
      <c r="D15" s="21" t="n">
        <f aca="false">D5*1.15</f>
        <v>161</v>
      </c>
      <c r="E15" s="19" t="n">
        <f aca="false">E5*1.1</f>
        <v>165</v>
      </c>
      <c r="F15" s="19" t="n">
        <f aca="false">F5*1.1</f>
        <v>176</v>
      </c>
      <c r="G15" s="19" t="n">
        <f aca="false">G5*1.1</f>
        <v>187</v>
      </c>
      <c r="H15" s="19" t="n">
        <f aca="false">H5*1.1</f>
        <v>198</v>
      </c>
      <c r="I15" s="19" t="n">
        <f aca="false">I5*1.1</f>
        <v>209</v>
      </c>
    </row>
    <row r="17" customFormat="false" ht="15" hidden="false" customHeight="false" outlineLevel="0" collapsed="false">
      <c r="A17" s="14" t="s">
        <v>227</v>
      </c>
      <c r="B17" s="22" t="n">
        <f aca="false">B5*1.13</f>
        <v>135.6</v>
      </c>
      <c r="C17" s="22" t="n">
        <f aca="false">C5*1.13</f>
        <v>146.9</v>
      </c>
      <c r="D17" s="22" t="n">
        <f aca="false">D5*1.13</f>
        <v>158.2</v>
      </c>
      <c r="E17" s="22" t="n">
        <f aca="false">E5*1.13</f>
        <v>169.5</v>
      </c>
      <c r="F17" s="22" t="n">
        <f aca="false">F5*1.13</f>
        <v>180.8</v>
      </c>
      <c r="G17" s="22" t="n">
        <f aca="false">G5*1.13</f>
        <v>192.1</v>
      </c>
      <c r="H17" s="22" t="n">
        <f aca="false">H5*1.13</f>
        <v>203.4</v>
      </c>
      <c r="I17" s="22" t="n">
        <f aca="false">I5*1.13</f>
        <v>214.7</v>
      </c>
    </row>
    <row r="19" customFormat="false" ht="15" hidden="false" customHeight="false" outlineLevel="0" collapsed="false">
      <c r="A19" s="14" t="s">
        <v>228</v>
      </c>
      <c r="B19" s="22" t="n">
        <f aca="false">B5+300</f>
        <v>420</v>
      </c>
    </row>
    <row r="20" customFormat="false" ht="15" hidden="false" customHeight="false" outlineLevel="0" collapsed="false">
      <c r="A20" s="14" t="s">
        <v>229</v>
      </c>
      <c r="B20" s="22" t="n">
        <f aca="false">B5*5%</f>
        <v>6</v>
      </c>
    </row>
    <row r="21" customFormat="false" ht="15" hidden="false" customHeight="false" outlineLevel="0" collapsed="false">
      <c r="A21" s="14" t="s">
        <v>230</v>
      </c>
      <c r="B21" s="22" t="n">
        <f aca="false">B5/12</f>
        <v>10</v>
      </c>
    </row>
    <row r="22" customFormat="false" ht="15" hidden="false" customHeight="false" outlineLevel="0" collapsed="false">
      <c r="A22" s="14" t="s">
        <v>231</v>
      </c>
      <c r="B22" s="22" t="n">
        <f aca="false">B5/1000</f>
        <v>0.12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4"/>
  </cols>
  <sheetData>
    <row r="1" customFormat="false" ht="23.85" hidden="false" customHeight="true" outlineLevel="0" collapsed="false">
      <c r="A1" s="10" t="s">
        <v>232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7.15" hidden="false" customHeight="true" outlineLevel="0" collapsed="false">
      <c r="A2" s="11" t="s">
        <v>233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17.15" hidden="false" customHeight="false" outlineLevel="0" collapsed="false">
      <c r="A4" s="3" t="s">
        <v>211</v>
      </c>
      <c r="B4" s="14" t="s">
        <v>234</v>
      </c>
      <c r="C4" s="14" t="s">
        <v>235</v>
      </c>
      <c r="D4" s="14" t="s">
        <v>236</v>
      </c>
    </row>
    <row r="5" customFormat="false" ht="15" hidden="false" customHeight="false" outlineLevel="0" collapsed="false">
      <c r="A5" s="14" t="s">
        <v>237</v>
      </c>
      <c r="B5" s="15" t="n">
        <v>105</v>
      </c>
      <c r="C5" s="15" t="n">
        <v>25</v>
      </c>
      <c r="D5" s="19" t="n">
        <f aca="false">B5-C5</f>
        <v>80</v>
      </c>
    </row>
    <row r="6" customFormat="false" ht="15" hidden="false" customHeight="false" outlineLevel="0" collapsed="false">
      <c r="A6" s="14" t="s">
        <v>238</v>
      </c>
      <c r="B6" s="15" t="n">
        <v>106</v>
      </c>
      <c r="C6" s="15" t="n">
        <v>26</v>
      </c>
      <c r="D6" s="19" t="n">
        <f aca="false">B6-C6</f>
        <v>80</v>
      </c>
    </row>
    <row r="7" customFormat="false" ht="15" hidden="false" customHeight="false" outlineLevel="0" collapsed="false">
      <c r="A7" s="14" t="s">
        <v>239</v>
      </c>
      <c r="B7" s="15" t="n">
        <v>107</v>
      </c>
      <c r="C7" s="15" t="n">
        <v>27</v>
      </c>
      <c r="D7" s="19" t="n">
        <f aca="false">B7-C7</f>
        <v>80</v>
      </c>
    </row>
    <row r="8" customFormat="false" ht="15" hidden="false" customHeight="false" outlineLevel="0" collapsed="false">
      <c r="A8" s="14" t="s">
        <v>240</v>
      </c>
      <c r="B8" s="15" t="n">
        <v>108</v>
      </c>
      <c r="C8" s="15" t="n">
        <v>28</v>
      </c>
      <c r="D8" s="19" t="n">
        <f aca="false">B8-C8</f>
        <v>80</v>
      </c>
    </row>
    <row r="9" customFormat="false" ht="15" hidden="false" customHeight="false" outlineLevel="0" collapsed="false">
      <c r="A9" s="14" t="s">
        <v>241</v>
      </c>
      <c r="B9" s="15" t="n">
        <v>109</v>
      </c>
      <c r="C9" s="15" t="n">
        <v>29</v>
      </c>
      <c r="D9" s="20" t="n">
        <v>0</v>
      </c>
    </row>
    <row r="10" customFormat="false" ht="15" hidden="false" customHeight="false" outlineLevel="0" collapsed="false">
      <c r="A10" s="14" t="s">
        <v>242</v>
      </c>
      <c r="B10" s="15" t="n">
        <v>110</v>
      </c>
      <c r="C10" s="15" t="n">
        <v>30</v>
      </c>
      <c r="D10" s="19" t="n">
        <f aca="false">B10-C10</f>
        <v>80</v>
      </c>
    </row>
    <row r="11" customFormat="false" ht="15" hidden="false" customHeight="false" outlineLevel="0" collapsed="false">
      <c r="A11" s="14" t="s">
        <v>243</v>
      </c>
      <c r="B11" s="15" t="n">
        <v>111</v>
      </c>
      <c r="C11" s="15" t="n">
        <v>31</v>
      </c>
      <c r="D11" s="19" t="n">
        <f aca="false">B11-C11</f>
        <v>80</v>
      </c>
    </row>
    <row r="12" customFormat="false" ht="15" hidden="false" customHeight="false" outlineLevel="0" collapsed="false">
      <c r="A12" s="14" t="s">
        <v>244</v>
      </c>
      <c r="B12" s="15" t="n">
        <v>112</v>
      </c>
      <c r="C12" s="15" t="n">
        <v>32</v>
      </c>
      <c r="D12" s="19" t="n">
        <f aca="false">B12-C12</f>
        <v>80</v>
      </c>
    </row>
    <row r="13" customFormat="false" ht="15" hidden="false" customHeight="false" outlineLevel="0" collapsed="false">
      <c r="A13" s="14" t="s">
        <v>245</v>
      </c>
      <c r="B13" s="15" t="n">
        <v>113</v>
      </c>
      <c r="C13" s="15" t="n">
        <v>33</v>
      </c>
      <c r="D13" s="20" t="n">
        <v>-500</v>
      </c>
    </row>
    <row r="14" customFormat="false" ht="15" hidden="false" customHeight="false" outlineLevel="0" collapsed="false">
      <c r="A14" s="14" t="s">
        <v>246</v>
      </c>
      <c r="B14" s="15" t="n">
        <v>114</v>
      </c>
      <c r="C14" s="15" t="n">
        <v>34</v>
      </c>
      <c r="D14" s="19" t="n">
        <f aca="false">B14-C14</f>
        <v>80</v>
      </c>
    </row>
    <row r="15" customFormat="false" ht="15" hidden="false" customHeight="false" outlineLevel="0" collapsed="false">
      <c r="A15" s="14" t="s">
        <v>247</v>
      </c>
      <c r="B15" s="15" t="n">
        <v>115</v>
      </c>
      <c r="C15" s="15" t="n">
        <v>35</v>
      </c>
      <c r="D15" s="19" t="n">
        <f aca="false">B15-C15</f>
        <v>80</v>
      </c>
    </row>
    <row r="16" customFormat="false" ht="15" hidden="false" customHeight="false" outlineLevel="0" collapsed="false">
      <c r="A16" s="14" t="s">
        <v>248</v>
      </c>
      <c r="B16" s="15" t="n">
        <v>116</v>
      </c>
      <c r="C16" s="15" t="n">
        <v>36</v>
      </c>
      <c r="D16" s="21" t="n">
        <v>999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4"/>
  </cols>
  <sheetData>
    <row r="1" customFormat="false" ht="23.85" hidden="false" customHeight="true" outlineLevel="0" collapsed="false">
      <c r="A1" s="10" t="s">
        <v>249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7.15" hidden="false" customHeight="true" outlineLevel="0" collapsed="false">
      <c r="A2" s="11" t="s">
        <v>250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B3" s="23" t="n">
        <v>0.13</v>
      </c>
    </row>
    <row r="4" customFormat="false" ht="15" hidden="false" customHeight="false" outlineLevel="0" collapsed="false">
      <c r="A4" s="4" t="s">
        <v>251</v>
      </c>
      <c r="B4" s="4" t="s">
        <v>252</v>
      </c>
      <c r="C4" s="4" t="s">
        <v>253</v>
      </c>
      <c r="D4" s="4" t="s">
        <v>254</v>
      </c>
      <c r="E4" s="24"/>
      <c r="F4" s="24"/>
      <c r="G4" s="24"/>
      <c r="H4" s="24"/>
      <c r="I4" s="24"/>
      <c r="J4" s="24"/>
      <c r="K4" s="24"/>
      <c r="L4" s="24"/>
      <c r="M4" s="24"/>
    </row>
    <row r="5" customFormat="false" ht="32.8" hidden="false" customHeight="false" outlineLevel="0" collapsed="false">
      <c r="A5" s="14" t="s">
        <v>80</v>
      </c>
      <c r="B5" s="14" t="n">
        <v>123.456</v>
      </c>
      <c r="C5" s="14" t="n">
        <v>10</v>
      </c>
      <c r="D5" s="14" t="s">
        <v>81</v>
      </c>
    </row>
    <row r="6" customFormat="false" ht="17.15" hidden="false" customHeight="false" outlineLevel="0" collapsed="false">
      <c r="A6" s="14" t="s">
        <v>83</v>
      </c>
      <c r="B6" s="14" t="n">
        <f aca="false">ROUNDUP(B5,0)</f>
        <v>124</v>
      </c>
      <c r="C6" s="14" t="s">
        <v>78</v>
      </c>
      <c r="D6" s="14" t="s">
        <v>84</v>
      </c>
    </row>
    <row r="7" customFormat="false" ht="48.5" hidden="false" customHeight="false" outlineLevel="0" collapsed="false">
      <c r="A7" s="14" t="s">
        <v>86</v>
      </c>
      <c r="B7" s="14" t="str">
        <f aca="false">LEFT("ABCDEFG",4)</f>
        <v>ABCD</v>
      </c>
      <c r="C7" s="14" t="s">
        <v>78</v>
      </c>
      <c r="D7" s="14" t="s">
        <v>87</v>
      </c>
    </row>
    <row r="8" customFormat="false" ht="17.15" hidden="false" customHeight="false" outlineLevel="0" collapsed="false">
      <c r="A8" s="14" t="s">
        <v>89</v>
      </c>
      <c r="B8" s="14" t="str">
        <f aca="false">RIGHT("ABCDEFG",3)</f>
        <v>EFG</v>
      </c>
      <c r="C8" s="14" t="s">
        <v>78</v>
      </c>
      <c r="D8" s="14" t="s">
        <v>90</v>
      </c>
    </row>
    <row r="9" customFormat="false" ht="32.8" hidden="false" customHeight="false" outlineLevel="0" collapsed="false">
      <c r="A9" s="14" t="s">
        <v>92</v>
      </c>
      <c r="B9" s="14" t="str">
        <f aca="false">MID("ABCDEFG",2,3)</f>
        <v>BCD</v>
      </c>
      <c r="C9" s="14" t="s">
        <v>78</v>
      </c>
      <c r="D9" s="14" t="s">
        <v>93</v>
      </c>
    </row>
    <row r="10" customFormat="false" ht="17.15" hidden="false" customHeight="false" outlineLevel="0" collapsed="false">
      <c r="A10" s="14" t="s">
        <v>96</v>
      </c>
      <c r="B10" s="14" t="n">
        <f aca="false">IF(B5&gt;0,B5,0)</f>
        <v>123.456</v>
      </c>
      <c r="C10" s="14" t="s">
        <v>78</v>
      </c>
      <c r="D10" s="3" t="s">
        <v>97</v>
      </c>
    </row>
    <row r="11" customFormat="false" ht="17.15" hidden="false" customHeight="false" outlineLevel="0" collapsed="false">
      <c r="A11" s="14" t="s">
        <v>99</v>
      </c>
      <c r="B11" s="14" t="n">
        <f aca="false">IFERROR(B5/C5,0)</f>
        <v>12.3456</v>
      </c>
      <c r="C11" s="14" t="s">
        <v>78</v>
      </c>
      <c r="D11" s="3" t="s">
        <v>100</v>
      </c>
    </row>
    <row r="12" customFormat="false" ht="32.8" hidden="false" customHeight="false" outlineLevel="0" collapsed="false">
      <c r="A12" s="14" t="s">
        <v>103</v>
      </c>
      <c r="B12" s="25" t="n">
        <f aca="false">DATE(2026,12,31)</f>
        <v>46387</v>
      </c>
      <c r="C12" s="14" t="s">
        <v>78</v>
      </c>
      <c r="D12" s="14" t="s">
        <v>104</v>
      </c>
    </row>
    <row r="13" customFormat="false" ht="17.15" hidden="false" customHeight="false" outlineLevel="0" collapsed="false">
      <c r="A13" s="14" t="s">
        <v>106</v>
      </c>
      <c r="B13" s="14" t="n">
        <f aca="false">EOMONTH(DATE(2026,1,15),12)</f>
        <v>46418</v>
      </c>
      <c r="C13" s="14" t="s">
        <v>78</v>
      </c>
      <c r="D13" s="3" t="s">
        <v>107</v>
      </c>
    </row>
    <row r="14" customFormat="false" ht="32.8" hidden="false" customHeight="false" outlineLevel="0" collapsed="false">
      <c r="A14" s="14" t="s">
        <v>110</v>
      </c>
      <c r="B14" s="14" t="n">
        <f aca="false">B5*$B$3</f>
        <v>16.04928</v>
      </c>
      <c r="C14" s="14" t="s">
        <v>78</v>
      </c>
      <c r="D14" s="3" t="s">
        <v>111</v>
      </c>
    </row>
    <row r="15" customFormat="false" ht="32.8" hidden="false" customHeight="false" outlineLevel="0" collapsed="false">
      <c r="A15" s="14" t="s">
        <v>114</v>
      </c>
      <c r="B15" s="14" t="str">
        <f aca="false">B5&amp;"-2026"</f>
        <v>123.456-2026</v>
      </c>
      <c r="C15" s="14" t="s">
        <v>78</v>
      </c>
      <c r="D15" s="3" t="s">
        <v>115</v>
      </c>
    </row>
    <row r="16" customFormat="false" ht="32.8" hidden="false" customHeight="false" outlineLevel="0" collapsed="false">
      <c r="A16" s="14" t="s">
        <v>118</v>
      </c>
      <c r="B16" s="14" t="n">
        <f aca="false">SUMPRODUCT({1,2,3},{4,5,6})</f>
        <v>32</v>
      </c>
      <c r="C16" s="14" t="s">
        <v>78</v>
      </c>
      <c r="D16" s="3" t="s">
        <v>119</v>
      </c>
    </row>
    <row r="17" customFormat="false" ht="48.5" hidden="false" customHeight="false" outlineLevel="0" collapsed="false">
      <c r="A17" s="14" t="s">
        <v>120</v>
      </c>
      <c r="B17" s="26" t="n">
        <f aca="false">ROUND(B5*1.13,2)</f>
        <v>139.51</v>
      </c>
      <c r="C17" s="14" t="s">
        <v>36</v>
      </c>
      <c r="D17" s="14" t="s">
        <v>121</v>
      </c>
    </row>
    <row r="18" customFormat="false" ht="48.5" hidden="false" customHeight="false" outlineLevel="0" collapsed="false">
      <c r="A18" s="14" t="s">
        <v>123</v>
      </c>
      <c r="B18" s="14" t="n">
        <f aca="false">YEAR(DATE(2026,1,1))+1</f>
        <v>2027</v>
      </c>
      <c r="C18" s="14" t="s">
        <v>78</v>
      </c>
      <c r="D18" s="3" t="s">
        <v>124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4"/>
  </cols>
  <sheetData>
    <row r="1" customFormat="false" ht="23.85" hidden="false" customHeight="true" outlineLevel="0" collapsed="false">
      <c r="A1" s="10" t="s">
        <v>255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7.15" hidden="false" customHeight="true" outlineLevel="0" collapsed="false">
      <c r="A2" s="11" t="s">
        <v>256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15" hidden="false" customHeight="false" outlineLevel="0" collapsed="false">
      <c r="A4" s="4" t="s">
        <v>251</v>
      </c>
      <c r="B4" s="4" t="s">
        <v>257</v>
      </c>
      <c r="C4" s="4" t="s">
        <v>258</v>
      </c>
      <c r="D4" s="4" t="s">
        <v>252</v>
      </c>
      <c r="E4" s="24"/>
      <c r="F4" s="24"/>
      <c r="G4" s="24"/>
      <c r="H4" s="24"/>
      <c r="I4" s="24"/>
      <c r="J4" s="24"/>
      <c r="K4" s="24"/>
      <c r="L4" s="24"/>
      <c r="M4" s="24"/>
    </row>
    <row r="5" customFormat="false" ht="15" hidden="false" customHeight="false" outlineLevel="0" collapsed="false">
      <c r="A5" s="14" t="s">
        <v>127</v>
      </c>
      <c r="B5" s="14" t="n">
        <v>105</v>
      </c>
      <c r="C5" s="14" t="n">
        <v>25</v>
      </c>
      <c r="D5" s="26" t="n">
        <f aca="false">IF(B5&gt;C5,B5*1.2,C5)</f>
        <v>126</v>
      </c>
    </row>
    <row r="6" customFormat="false" ht="15" hidden="false" customHeight="false" outlineLevel="0" collapsed="false">
      <c r="A6" s="14" t="s">
        <v>130</v>
      </c>
      <c r="B6" s="14" t="n">
        <v>106</v>
      </c>
      <c r="C6" s="14" t="n">
        <v>26</v>
      </c>
      <c r="D6" s="26" t="n">
        <f aca="false">IF(B6&gt;1000,B6,C6)</f>
        <v>26</v>
      </c>
    </row>
    <row r="7" customFormat="false" ht="15" hidden="false" customHeight="false" outlineLevel="0" collapsed="false">
      <c r="A7" s="14" t="s">
        <v>133</v>
      </c>
      <c r="B7" s="14" t="n">
        <v>107</v>
      </c>
      <c r="C7" s="14" t="n">
        <v>27</v>
      </c>
      <c r="D7" s="26" t="n">
        <f aca="false">ROUND((B7-C7)*0.85,2)</f>
        <v>68</v>
      </c>
    </row>
    <row r="8" customFormat="false" ht="15" hidden="false" customHeight="false" outlineLevel="0" collapsed="false">
      <c r="A8" s="14" t="s">
        <v>136</v>
      </c>
      <c r="B8" s="14" t="n">
        <v>108</v>
      </c>
      <c r="C8" s="14" t="n">
        <v>28</v>
      </c>
      <c r="D8" s="26" t="n">
        <f aca="false">SUM(B8:C8)+500</f>
        <v>636</v>
      </c>
    </row>
    <row r="9" customFormat="false" ht="15" hidden="false" customHeight="false" outlineLevel="0" collapsed="false">
      <c r="A9" s="14" t="s">
        <v>138</v>
      </c>
      <c r="B9" s="14" t="n">
        <v>109</v>
      </c>
      <c r="C9" s="14" t="n">
        <v>29</v>
      </c>
      <c r="D9" s="26" t="n">
        <f aca="false">MIN(B9,100)</f>
        <v>100</v>
      </c>
    </row>
    <row r="10" customFormat="false" ht="15" hidden="false" customHeight="false" outlineLevel="0" collapsed="false">
      <c r="A10" s="14" t="s">
        <v>141</v>
      </c>
      <c r="B10" s="14" t="n">
        <v>110</v>
      </c>
      <c r="C10" s="14" t="n">
        <v>30</v>
      </c>
      <c r="D10" s="14" t="n">
        <f aca="false">MAX(B10,0)</f>
        <v>110</v>
      </c>
    </row>
    <row r="11" customFormat="false" ht="15" hidden="false" customHeight="false" outlineLevel="0" collapsed="false">
      <c r="A11" s="14" t="s">
        <v>144</v>
      </c>
      <c r="B11" s="14" t="n">
        <v>111</v>
      </c>
      <c r="C11" s="14" t="n">
        <v>31</v>
      </c>
      <c r="D11" s="14" t="n">
        <f aca="false">CHOOSE(2,B11,C11,999)</f>
        <v>31</v>
      </c>
    </row>
    <row r="12" customFormat="false" ht="15" hidden="false" customHeight="false" outlineLevel="0" collapsed="false">
      <c r="A12" s="14" t="s">
        <v>147</v>
      </c>
      <c r="B12" s="14" t="n">
        <v>112</v>
      </c>
      <c r="C12" s="14" t="n">
        <v>32</v>
      </c>
      <c r="D12" s="26" t="n">
        <f aca="false">B12^2</f>
        <v>12544</v>
      </c>
    </row>
    <row r="13" customFormat="false" ht="15" hidden="false" customHeight="false" outlineLevel="0" collapsed="false">
      <c r="A13" s="14" t="s">
        <v>149</v>
      </c>
      <c r="B13" s="14" t="n">
        <v>113</v>
      </c>
      <c r="C13" s="14" t="n">
        <v>33</v>
      </c>
      <c r="D13" s="26" t="n">
        <f aca="false">IF(B13&gt;0,B13*5%,0)</f>
        <v>5.65</v>
      </c>
    </row>
    <row r="14" customFormat="false" ht="28.35" hidden="false" customHeight="false" outlineLevel="0" collapsed="false">
      <c r="A14" s="14" t="s">
        <v>152</v>
      </c>
      <c r="B14" s="14" t="n">
        <v>114</v>
      </c>
      <c r="C14" s="14" t="n">
        <v>34</v>
      </c>
      <c r="D14" s="14" t="str">
        <f aca="false">TEXT(B14,"0.00")&amp;" / FY2026"</f>
        <v>114.00 / FY2026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4"/>
  </cols>
  <sheetData>
    <row r="1" customFormat="false" ht="23.85" hidden="false" customHeight="true" outlineLevel="0" collapsed="false">
      <c r="A1" s="10" t="s">
        <v>259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7.15" hidden="false" customHeight="true" outlineLevel="0" collapsed="false">
      <c r="A2" s="11" t="s">
        <v>260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15" hidden="false" customHeight="false" outlineLevel="0" collapsed="false">
      <c r="A4" s="14" t="s">
        <v>261</v>
      </c>
      <c r="B4" s="13" t="s">
        <v>262</v>
      </c>
      <c r="C4" s="13" t="s">
        <v>263</v>
      </c>
      <c r="D4" s="13" t="s">
        <v>264</v>
      </c>
      <c r="E4" s="13" t="s">
        <v>265</v>
      </c>
      <c r="F4" s="13" t="s">
        <v>266</v>
      </c>
    </row>
    <row r="6" customFormat="false" ht="15" hidden="false" customHeight="false" outlineLevel="0" collapsed="false">
      <c r="A6" s="4" t="s">
        <v>267</v>
      </c>
    </row>
    <row r="7" customFormat="false" ht="15" hidden="false" customHeight="false" outlineLevel="0" collapsed="false">
      <c r="A7" s="16" t="s">
        <v>268</v>
      </c>
      <c r="B7" s="17" t="n">
        <v>0.08</v>
      </c>
      <c r="C7" s="17" t="n">
        <v>0.07</v>
      </c>
      <c r="D7" s="17" t="n">
        <v>0.06</v>
      </c>
      <c r="E7" s="17" t="n">
        <v>0.05</v>
      </c>
      <c r="F7" s="17" t="n">
        <v>0.04</v>
      </c>
      <c r="G7" s="18"/>
      <c r="H7" s="18"/>
      <c r="I7" s="18"/>
      <c r="J7" s="18"/>
      <c r="K7" s="18"/>
      <c r="L7" s="18"/>
      <c r="M7" s="18"/>
    </row>
    <row r="8" customFormat="false" ht="15" hidden="false" customHeight="false" outlineLevel="0" collapsed="false">
      <c r="A8" s="16" t="s">
        <v>269</v>
      </c>
      <c r="B8" s="17" t="n">
        <v>0.4</v>
      </c>
      <c r="C8" s="17" t="n">
        <v>0.41</v>
      </c>
      <c r="D8" s="17" t="n">
        <v>0.42</v>
      </c>
      <c r="E8" s="17" t="n">
        <v>0.43</v>
      </c>
      <c r="F8" s="17" t="n">
        <v>0.44</v>
      </c>
      <c r="G8" s="18"/>
      <c r="H8" s="18"/>
      <c r="I8" s="18"/>
      <c r="J8" s="18"/>
      <c r="K8" s="18"/>
      <c r="L8" s="18"/>
      <c r="M8" s="18"/>
    </row>
    <row r="10" customFormat="false" ht="15" hidden="false" customHeight="false" outlineLevel="0" collapsed="false">
      <c r="A10" s="14" t="s">
        <v>220</v>
      </c>
      <c r="B10" s="15" t="n">
        <v>1000</v>
      </c>
      <c r="C10" s="19" t="n">
        <f aca="false">B10*(1+C7)</f>
        <v>1070</v>
      </c>
      <c r="D10" s="19" t="n">
        <f aca="false">C10*(1+D7)</f>
        <v>1134.2</v>
      </c>
      <c r="E10" s="19" t="n">
        <f aca="false">D10*(1+E7)</f>
        <v>1190.91</v>
      </c>
      <c r="F10" s="19" t="n">
        <f aca="false">E10*(1+F7)</f>
        <v>1238.5464</v>
      </c>
    </row>
    <row r="11" customFormat="false" ht="15" hidden="false" customHeight="false" outlineLevel="0" collapsed="false">
      <c r="A11" s="14" t="s">
        <v>270</v>
      </c>
      <c r="B11" s="19" t="n">
        <f aca="false">B10*B8</f>
        <v>400</v>
      </c>
      <c r="C11" s="19" t="n">
        <f aca="false">C10*C8</f>
        <v>438.7</v>
      </c>
      <c r="D11" s="19" t="n">
        <f aca="false">D10*D8</f>
        <v>476.364</v>
      </c>
      <c r="E11" s="20" t="n">
        <f aca="false">E10*0.5</f>
        <v>595.455</v>
      </c>
      <c r="F11" s="19" t="n">
        <f aca="false">F10*F8</f>
        <v>544.960416</v>
      </c>
    </row>
    <row r="12" customFormat="false" ht="15" hidden="false" customHeight="false" outlineLevel="0" collapsed="false">
      <c r="A12" s="14" t="s">
        <v>271</v>
      </c>
      <c r="B12" s="22" t="n">
        <f aca="false">B10*0.2</f>
        <v>200</v>
      </c>
      <c r="C12" s="22" t="n">
        <f aca="false">C10*0.2</f>
        <v>214</v>
      </c>
      <c r="D12" s="22" t="n">
        <f aca="false">D10*0.2</f>
        <v>226.84</v>
      </c>
      <c r="E12" s="22" t="n">
        <f aca="false">E10*0.2</f>
        <v>238.182</v>
      </c>
      <c r="F12" s="22" t="n">
        <f aca="false">F10*0.2</f>
        <v>247.70928</v>
      </c>
    </row>
    <row r="13" customFormat="false" ht="15" hidden="false" customHeight="false" outlineLevel="0" collapsed="false">
      <c r="A13" s="14" t="s">
        <v>272</v>
      </c>
      <c r="B13" s="19" t="n">
        <f aca="false">B11-B12</f>
        <v>200</v>
      </c>
      <c r="C13" s="19" t="n">
        <f aca="false">C11-C12</f>
        <v>224.7</v>
      </c>
      <c r="D13" s="20" t="n">
        <f aca="false">D11-D12-250</f>
        <v>-0.476000000000056</v>
      </c>
      <c r="E13" s="19" t="n">
        <f aca="false">E11-E12</f>
        <v>357.273</v>
      </c>
      <c r="F13" s="19" t="n">
        <f aca="false">F11-F12</f>
        <v>297.251136</v>
      </c>
    </row>
    <row r="15" customFormat="false" ht="15" hidden="false" customHeight="false" outlineLevel="0" collapsed="false">
      <c r="A15" s="14" t="s">
        <v>273</v>
      </c>
      <c r="B15" s="19" t="n">
        <f aca="false">B10*'参数 表'!$B$5</f>
        <v>7200</v>
      </c>
      <c r="C15" s="19" t="n">
        <f aca="false">C10*'参数 表'!$B$5</f>
        <v>7704</v>
      </c>
      <c r="D15" s="19" t="n">
        <f aca="false">D10*'参数 表'!$B$5</f>
        <v>8166.24</v>
      </c>
      <c r="E15" s="19" t="n">
        <f aca="false">E10*'参数 表'!$B$5</f>
        <v>8574.552</v>
      </c>
      <c r="F15" s="20" t="n">
        <f aca="false">F10*7.5</f>
        <v>9289.098</v>
      </c>
    </row>
    <row r="16" customFormat="false" ht="15" hidden="false" customHeight="false" outlineLevel="0" collapsed="false">
      <c r="A16" s="14" t="s">
        <v>274</v>
      </c>
      <c r="B16" s="19" t="n">
        <f aca="false">B13*TaxRate</f>
        <v>50</v>
      </c>
      <c r="C16" s="19" t="n">
        <f aca="false">C13*TaxRate</f>
        <v>56.175</v>
      </c>
      <c r="D16" s="19" t="n">
        <f aca="false">D13*TaxRate</f>
        <v>-0.119000000000014</v>
      </c>
      <c r="E16" s="20" t="n">
        <f aca="false">E13*0.3</f>
        <v>107.1819</v>
      </c>
      <c r="F16" s="19" t="n">
        <f aca="false">F13*TaxRate</f>
        <v>74.312784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4"/>
  </cols>
  <sheetData>
    <row r="1" customFormat="false" ht="23.85" hidden="false" customHeight="true" outlineLevel="0" collapsed="false">
      <c r="A1" s="10" t="s">
        <v>275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7.15" hidden="false" customHeight="true" outlineLevel="0" collapsed="false">
      <c r="A2" s="11" t="s">
        <v>276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15" hidden="false" customHeight="false" outlineLevel="0" collapsed="false">
      <c r="A4" s="14" t="s">
        <v>277</v>
      </c>
      <c r="B4" s="14" t="s">
        <v>278</v>
      </c>
    </row>
    <row r="5" customFormat="false" ht="15" hidden="false" customHeight="false" outlineLevel="0" collapsed="false">
      <c r="A5" s="14" t="s">
        <v>279</v>
      </c>
      <c r="B5" s="15" t="n">
        <v>7.2</v>
      </c>
    </row>
    <row r="6" customFormat="false" ht="15" hidden="false" customHeight="false" outlineLevel="0" collapsed="false">
      <c r="A6" s="14" t="s">
        <v>280</v>
      </c>
      <c r="B6" s="17" t="n">
        <v>0.25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true" outlineLevel="0" max="4" min="4" style="0" width="14"/>
    <col collapsed="false" customWidth="true" hidden="false" outlineLevel="0" max="17" min="5" style="0" width="14"/>
  </cols>
  <sheetData>
    <row r="1" customFormat="false" ht="23.85" hidden="false" customHeight="true" outlineLevel="0" collapsed="false">
      <c r="A1" s="10" t="s">
        <v>281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7.15" hidden="false" customHeight="true" outlineLevel="0" collapsed="false">
      <c r="A2" s="11" t="s">
        <v>282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15" hidden="false" customHeight="true" outlineLevel="0" collapsed="false">
      <c r="B4" s="27" t="s">
        <v>283</v>
      </c>
      <c r="C4" s="27"/>
      <c r="D4" s="27"/>
    </row>
    <row r="6" customFormat="false" ht="15" hidden="true" customHeight="false" outlineLevel="0" collapsed="false">
      <c r="A6" s="14" t="s">
        <v>284</v>
      </c>
      <c r="B6" s="14" t="n">
        <f aca="false">B8+B9</f>
        <v>26</v>
      </c>
      <c r="C6" s="14" t="n">
        <f aca="false">C8+C9</f>
        <v>39</v>
      </c>
      <c r="D6" s="14" t="n">
        <f aca="false">D8+D9</f>
        <v>52</v>
      </c>
      <c r="E6" s="28" t="n">
        <v>777</v>
      </c>
      <c r="F6" s="14" t="n">
        <f aca="false">F8+F9</f>
        <v>78</v>
      </c>
      <c r="G6" s="14" t="n">
        <f aca="false">G8+G9</f>
        <v>91</v>
      </c>
    </row>
    <row r="8" customFormat="false" ht="15" hidden="false" customHeight="false" outlineLevel="0" collapsed="false">
      <c r="A8" s="14" t="s">
        <v>285</v>
      </c>
      <c r="B8" s="14" t="n">
        <v>20</v>
      </c>
      <c r="C8" s="14" t="n">
        <v>30</v>
      </c>
      <c r="D8" s="14" t="n">
        <v>40</v>
      </c>
      <c r="E8" s="14" t="n">
        <v>50</v>
      </c>
      <c r="F8" s="14" t="n">
        <v>60</v>
      </c>
      <c r="G8" s="14" t="n">
        <v>70</v>
      </c>
    </row>
    <row r="9" customFormat="false" ht="15" hidden="false" customHeight="false" outlineLevel="0" collapsed="false">
      <c r="A9" s="14" t="s">
        <v>286</v>
      </c>
      <c r="B9" s="14" t="n">
        <v>6</v>
      </c>
      <c r="C9" s="14" t="n">
        <v>9</v>
      </c>
      <c r="D9" s="14" t="n">
        <v>12</v>
      </c>
      <c r="E9" s="14" t="n">
        <v>15</v>
      </c>
      <c r="F9" s="14" t="n">
        <v>18</v>
      </c>
      <c r="G9" s="14" t="n">
        <v>21</v>
      </c>
    </row>
    <row r="11" customFormat="false" ht="15" hidden="false" customHeight="false" outlineLevel="0" collapsed="false">
      <c r="B11" s="14" t="n">
        <f aca="false">B8-B9</f>
        <v>14</v>
      </c>
      <c r="C11" s="14" t="n">
        <f aca="false">C8-C9</f>
        <v>21</v>
      </c>
      <c r="D11" s="28" t="n">
        <v>333</v>
      </c>
      <c r="E11" s="14" t="n">
        <f aca="false">E8-E9</f>
        <v>35</v>
      </c>
      <c r="F11" s="14" t="n">
        <f aca="false">F8-F9</f>
        <v>42</v>
      </c>
      <c r="G11" s="14" t="n">
        <f aca="false">G8-G9</f>
        <v>49</v>
      </c>
    </row>
    <row r="13" customFormat="false" ht="15" hidden="false" customHeight="false" outlineLevel="0" collapsed="false">
      <c r="A13" s="14" t="s">
        <v>287</v>
      </c>
    </row>
    <row r="14" customFormat="false" ht="15" hidden="false" customHeight="false" outlineLevel="0" collapsed="false">
      <c r="A14" s="14" t="s">
        <v>288</v>
      </c>
      <c r="B14" s="14" t="str">
        <f aca="false">IF(B8&gt;0,"",B8)</f>
        <v/>
      </c>
    </row>
    <row r="17" customFormat="false" ht="15" hidden="false" customHeight="false" outlineLevel="0" collapsed="false">
      <c r="B17" s="14" t="n">
        <f aca="false">B8+17</f>
        <v>37</v>
      </c>
      <c r="C17" s="14" t="n">
        <f aca="false">C8+17</f>
        <v>47</v>
      </c>
      <c r="D17" s="14" t="n">
        <f aca="false">D8+17</f>
        <v>57</v>
      </c>
      <c r="E17" s="14" t="n">
        <f aca="false">E8+17</f>
        <v>67</v>
      </c>
      <c r="F17" s="14" t="n">
        <f aca="false">F8+17</f>
        <v>77</v>
      </c>
    </row>
    <row r="18" customFormat="false" ht="15" hidden="false" customHeight="false" outlineLevel="0" collapsed="false">
      <c r="B18" s="14" t="n">
        <f aca="false">B8+18</f>
        <v>38</v>
      </c>
      <c r="C18" s="14" t="n">
        <f aca="false">C8+18</f>
        <v>48</v>
      </c>
      <c r="D18" s="14" t="n">
        <f aca="false">D8+18</f>
        <v>58</v>
      </c>
      <c r="E18" s="14" t="n">
        <f aca="false">E8+18</f>
        <v>68</v>
      </c>
      <c r="F18" s="14" t="n">
        <f aca="false">F8+18</f>
        <v>78</v>
      </c>
    </row>
    <row r="19" customFormat="false" ht="15" hidden="false" customHeight="false" outlineLevel="0" collapsed="false">
      <c r="B19" s="14" t="n">
        <f aca="false">B8+19</f>
        <v>39</v>
      </c>
      <c r="C19" s="14" t="n">
        <f aca="false">C8+19</f>
        <v>49</v>
      </c>
      <c r="D19" s="29" t="n">
        <v>888</v>
      </c>
      <c r="E19" s="14" t="n">
        <f aca="false">E8+19</f>
        <v>69</v>
      </c>
      <c r="F19" s="14" t="n">
        <f aca="false">F8+19</f>
        <v>79</v>
      </c>
    </row>
    <row r="20" customFormat="false" ht="15" hidden="false" customHeight="false" outlineLevel="0" collapsed="false">
      <c r="B20" s="14" t="n">
        <f aca="false">B8+20</f>
        <v>40</v>
      </c>
      <c r="C20" s="14" t="n">
        <f aca="false">C8+20</f>
        <v>50</v>
      </c>
      <c r="D20" s="14" t="n">
        <f aca="false">D8+20</f>
        <v>60</v>
      </c>
      <c r="E20" s="14" t="n">
        <f aca="false">E8+20</f>
        <v>70</v>
      </c>
      <c r="F20" s="14" t="n">
        <f aca="false">F8+20</f>
        <v>80</v>
      </c>
    </row>
    <row r="21" customFormat="false" ht="15" hidden="false" customHeight="false" outlineLevel="0" collapsed="false">
      <c r="B21" s="14" t="n">
        <f aca="false">B8+21</f>
        <v>41</v>
      </c>
      <c r="C21" s="14" t="n">
        <f aca="false">C8+21</f>
        <v>51</v>
      </c>
      <c r="D21" s="14" t="n">
        <f aca="false">D8+21</f>
        <v>61</v>
      </c>
      <c r="E21" s="14" t="n">
        <f aca="false">E8+21</f>
        <v>71</v>
      </c>
      <c r="F21" s="14" t="n">
        <f aca="false">F8+21</f>
        <v>81</v>
      </c>
    </row>
  </sheetData>
  <mergeCells count="3">
    <mergeCell ref="A1:M1"/>
    <mergeCell ref="A2:M2"/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4"/>
  </cols>
  <sheetData>
    <row r="1" customFormat="false" ht="23.85" hidden="false" customHeight="true" outlineLevel="0" collapsed="false">
      <c r="A1" s="10" t="s">
        <v>289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7.15" hidden="false" customHeight="true" outlineLevel="0" collapsed="false">
      <c r="A2" s="11" t="s">
        <v>290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15" hidden="false" customHeight="false" outlineLevel="0" collapsed="false">
      <c r="B4" s="13" t="s">
        <v>212</v>
      </c>
      <c r="C4" s="13" t="s">
        <v>213</v>
      </c>
      <c r="D4" s="13" t="s">
        <v>214</v>
      </c>
      <c r="E4" s="13" t="s">
        <v>215</v>
      </c>
      <c r="F4" s="13" t="s">
        <v>216</v>
      </c>
      <c r="G4" s="13" t="s">
        <v>217</v>
      </c>
      <c r="H4" s="13" t="s">
        <v>218</v>
      </c>
      <c r="I4" s="13" t="s">
        <v>219</v>
      </c>
    </row>
    <row r="5" customFormat="false" ht="15" hidden="false" customHeight="false" outlineLevel="0" collapsed="false">
      <c r="A5" s="14" t="s">
        <v>291</v>
      </c>
      <c r="B5" s="14" t="n">
        <v>102</v>
      </c>
      <c r="C5" s="14" t="n">
        <v>103</v>
      </c>
      <c r="D5" s="14" t="n">
        <v>104</v>
      </c>
      <c r="E5" s="14" t="n">
        <v>105</v>
      </c>
      <c r="F5" s="14" t="n">
        <v>106</v>
      </c>
      <c r="G5" s="14" t="n">
        <v>107</v>
      </c>
      <c r="H5" s="14" t="n">
        <v>108</v>
      </c>
      <c r="I5" s="14" t="n">
        <v>109</v>
      </c>
    </row>
    <row r="7" customFormat="false" ht="15" hidden="false" customHeight="false" outlineLevel="0" collapsed="false">
      <c r="A7" s="14" t="s">
        <v>292</v>
      </c>
      <c r="B7" s="14" t="n">
        <f aca="false">B5*1.1</f>
        <v>112.2</v>
      </c>
      <c r="C7" s="14" t="n">
        <f aca="false">C5+10</f>
        <v>113</v>
      </c>
      <c r="D7" s="14" t="n">
        <f aca="false">D5*1.1</f>
        <v>114.4</v>
      </c>
      <c r="E7" s="14" t="n">
        <f aca="false">E5+10</f>
        <v>115</v>
      </c>
      <c r="F7" s="14" t="n">
        <f aca="false">F5*1.1</f>
        <v>116.6</v>
      </c>
      <c r="G7" s="14" t="n">
        <f aca="false">G5+10</f>
        <v>117</v>
      </c>
      <c r="H7" s="14" t="n">
        <f aca="false">H5*1.1</f>
        <v>118.8</v>
      </c>
      <c r="I7" s="14" t="n">
        <f aca="false">I5+10</f>
        <v>119</v>
      </c>
    </row>
    <row r="9" customFormat="false" ht="15" hidden="false" customHeight="false" outlineLevel="0" collapsed="false">
      <c r="A9" s="14" t="s">
        <v>293</v>
      </c>
      <c r="B9" s="14" t="n">
        <f aca="false">B5*1.1</f>
        <v>112.2</v>
      </c>
      <c r="C9" s="14" t="n">
        <f aca="false">C5*1.1</f>
        <v>113.3</v>
      </c>
      <c r="D9" s="14" t="n">
        <f aca="false">D5*1.1</f>
        <v>114.4</v>
      </c>
      <c r="E9" s="14" t="n">
        <f aca="false">E5*1.1</f>
        <v>115.5</v>
      </c>
      <c r="F9" s="14" t="n">
        <f aca="false">F5*1.2</f>
        <v>127.2</v>
      </c>
      <c r="G9" s="14" t="n">
        <f aca="false">G5*1.2</f>
        <v>128.4</v>
      </c>
      <c r="H9" s="14" t="n">
        <f aca="false">H5*1.2</f>
        <v>129.6</v>
      </c>
      <c r="I9" s="14" t="n">
        <f aca="false">I5*1.2</f>
        <v>130.8</v>
      </c>
    </row>
    <row r="11" customFormat="false" ht="15" hidden="false" customHeight="false" outlineLevel="0" collapsed="false">
      <c r="A11" s="14" t="s">
        <v>294</v>
      </c>
      <c r="B11" s="23" t="n">
        <v>1.1</v>
      </c>
      <c r="C11" s="23" t="n">
        <v>1.2</v>
      </c>
      <c r="D11" s="23" t="n">
        <v>1.3</v>
      </c>
      <c r="E11" s="23" t="n">
        <v>1.4</v>
      </c>
      <c r="F11" s="23" t="n">
        <v>1.5</v>
      </c>
      <c r="G11" s="23" t="n">
        <v>1.6</v>
      </c>
      <c r="H11" s="23" t="n">
        <v>1.7</v>
      </c>
      <c r="I11" s="23" t="n">
        <v>1.8</v>
      </c>
    </row>
    <row r="13" customFormat="false" ht="15" hidden="false" customHeight="false" outlineLevel="0" collapsed="false">
      <c r="A13" s="14" t="s">
        <v>295</v>
      </c>
      <c r="B13" s="23" t="n">
        <v>0</v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4"/>
  </cols>
  <sheetData>
    <row r="1" customFormat="false" ht="23.85" hidden="false" customHeight="true" outlineLevel="0" collapsed="false">
      <c r="A1" s="10" t="s">
        <v>296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7.15" hidden="false" customHeight="true" outlineLevel="0" collapsed="false">
      <c r="A2" s="11" t="s">
        <v>297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15" hidden="false" customHeight="false" outlineLevel="0" collapsed="false">
      <c r="B4" s="13" t="s">
        <v>298</v>
      </c>
      <c r="C4" s="13" t="s">
        <v>299</v>
      </c>
      <c r="D4" s="13" t="s">
        <v>300</v>
      </c>
      <c r="E4" s="13" t="s">
        <v>301</v>
      </c>
      <c r="F4" s="13" t="s">
        <v>302</v>
      </c>
      <c r="G4" s="13" t="s">
        <v>303</v>
      </c>
      <c r="H4" s="13" t="s">
        <v>304</v>
      </c>
      <c r="I4" s="13" t="s">
        <v>305</v>
      </c>
      <c r="J4" s="13" t="s">
        <v>306</v>
      </c>
      <c r="K4" s="13" t="s">
        <v>307</v>
      </c>
      <c r="L4" s="13" t="s">
        <v>308</v>
      </c>
      <c r="M4" s="13" t="s">
        <v>309</v>
      </c>
      <c r="N4" s="13" t="s">
        <v>310</v>
      </c>
      <c r="O4" s="13" t="s">
        <v>311</v>
      </c>
      <c r="P4" s="13" t="s">
        <v>312</v>
      </c>
      <c r="Q4" s="13" t="s">
        <v>313</v>
      </c>
      <c r="R4" s="13" t="s">
        <v>314</v>
      </c>
      <c r="S4" s="13" t="s">
        <v>315</v>
      </c>
      <c r="T4" s="13" t="s">
        <v>316</v>
      </c>
      <c r="U4" s="13" t="s">
        <v>317</v>
      </c>
      <c r="V4" s="13" t="s">
        <v>318</v>
      </c>
      <c r="W4" s="13" t="s">
        <v>319</v>
      </c>
      <c r="X4" s="13" t="s">
        <v>320</v>
      </c>
      <c r="Y4" s="13" t="s">
        <v>321</v>
      </c>
      <c r="Z4" s="13" t="s">
        <v>204</v>
      </c>
    </row>
    <row r="5" customFormat="false" ht="15" hidden="false" customHeight="false" outlineLevel="0" collapsed="false">
      <c r="A5" s="14" t="s">
        <v>237</v>
      </c>
      <c r="B5" s="19" t="n">
        <f aca="false">B$50+ROW()</f>
        <v>25</v>
      </c>
      <c r="C5" s="19" t="n">
        <f aca="false">C$50+ROW()</f>
        <v>35</v>
      </c>
      <c r="D5" s="19" t="n">
        <f aca="false">D$50+ROW()</f>
        <v>45</v>
      </c>
      <c r="E5" s="19" t="n">
        <f aca="false">E$50+ROW()</f>
        <v>55</v>
      </c>
      <c r="F5" s="19" t="n">
        <f aca="false">F$50+ROW()</f>
        <v>65</v>
      </c>
      <c r="G5" s="19" t="n">
        <f aca="false">G$50+ROW()</f>
        <v>75</v>
      </c>
      <c r="H5" s="19" t="n">
        <f aca="false">H$50+ROW()</f>
        <v>85</v>
      </c>
      <c r="I5" s="19" t="n">
        <f aca="false">I$50+ROW()</f>
        <v>95</v>
      </c>
      <c r="J5" s="19" t="n">
        <f aca="false">J$50+ROW()</f>
        <v>105</v>
      </c>
      <c r="K5" s="19" t="n">
        <f aca="false">K$50+ROW()</f>
        <v>115</v>
      </c>
      <c r="L5" s="19" t="n">
        <f aca="false">L$50+ROW()</f>
        <v>125</v>
      </c>
      <c r="M5" s="19" t="n">
        <f aca="false">M$50+ROW()</f>
        <v>135</v>
      </c>
      <c r="N5" s="19" t="n">
        <f aca="false">N$50+ROW()</f>
        <v>145</v>
      </c>
      <c r="O5" s="19" t="n">
        <f aca="false">O$50+ROW()</f>
        <v>155</v>
      </c>
      <c r="P5" s="19" t="n">
        <f aca="false">P$50+ROW()</f>
        <v>165</v>
      </c>
      <c r="Q5" s="19" t="n">
        <f aca="false">Q$50+ROW()</f>
        <v>175</v>
      </c>
      <c r="R5" s="19" t="n">
        <f aca="false">R$50+ROW()</f>
        <v>185</v>
      </c>
      <c r="S5" s="19" t="n">
        <f aca="false">S$50+ROW()</f>
        <v>195</v>
      </c>
      <c r="T5" s="19" t="n">
        <f aca="false">T$50+ROW()</f>
        <v>205</v>
      </c>
      <c r="U5" s="19" t="n">
        <f aca="false">U$50+ROW()</f>
        <v>215</v>
      </c>
      <c r="V5" s="19" t="n">
        <f aca="false">V$50+ROW()</f>
        <v>225</v>
      </c>
      <c r="W5" s="19" t="n">
        <f aca="false">W$50+ROW()</f>
        <v>235</v>
      </c>
      <c r="X5" s="19" t="n">
        <f aca="false">X$50+ROW()</f>
        <v>245</v>
      </c>
      <c r="Y5" s="19" t="n">
        <f aca="false">Y$50+ROW()</f>
        <v>255</v>
      </c>
      <c r="Z5" s="19" t="n">
        <f aca="false">Z$50+ROW()</f>
        <v>265</v>
      </c>
    </row>
    <row r="6" customFormat="false" ht="15" hidden="false" customHeight="false" outlineLevel="0" collapsed="false">
      <c r="A6" s="14" t="s">
        <v>238</v>
      </c>
      <c r="B6" s="19" t="n">
        <f aca="false">B$50+ROW()</f>
        <v>26</v>
      </c>
      <c r="C6" s="19" t="n">
        <f aca="false">C$50+ROW()</f>
        <v>36</v>
      </c>
      <c r="D6" s="19" t="n">
        <f aca="false">D$50+ROW()</f>
        <v>46</v>
      </c>
      <c r="E6" s="19" t="n">
        <f aca="false">E$50+ROW()</f>
        <v>56</v>
      </c>
      <c r="F6" s="19" t="n">
        <f aca="false">F$50+ROW()</f>
        <v>66</v>
      </c>
      <c r="G6" s="19" t="n">
        <f aca="false">G$50+ROW()</f>
        <v>76</v>
      </c>
      <c r="H6" s="19" t="n">
        <f aca="false">H$50+ROW()</f>
        <v>86</v>
      </c>
      <c r="I6" s="19" t="n">
        <f aca="false">I$50+ROW()</f>
        <v>96</v>
      </c>
      <c r="J6" s="19" t="n">
        <f aca="false">J$50+ROW()</f>
        <v>106</v>
      </c>
      <c r="K6" s="19" t="n">
        <f aca="false">K$50+ROW()</f>
        <v>116</v>
      </c>
      <c r="L6" s="19" t="n">
        <f aca="false">L$50+ROW()</f>
        <v>126</v>
      </c>
      <c r="M6" s="19" t="n">
        <f aca="false">M$50+ROW()</f>
        <v>136</v>
      </c>
      <c r="N6" s="19" t="n">
        <f aca="false">N$50+ROW()</f>
        <v>146</v>
      </c>
      <c r="O6" s="19" t="n">
        <f aca="false">O$50+ROW()</f>
        <v>156</v>
      </c>
      <c r="P6" s="19" t="n">
        <f aca="false">P$50+ROW()</f>
        <v>166</v>
      </c>
      <c r="Q6" s="19" t="n">
        <f aca="false">Q$50+ROW()</f>
        <v>176</v>
      </c>
      <c r="R6" s="19" t="n">
        <f aca="false">R$50+ROW()</f>
        <v>186</v>
      </c>
      <c r="S6" s="19" t="n">
        <f aca="false">S$50+ROW()</f>
        <v>196</v>
      </c>
      <c r="T6" s="19" t="n">
        <f aca="false">T$50+ROW()</f>
        <v>206</v>
      </c>
      <c r="U6" s="19" t="n">
        <f aca="false">U$50+ROW()</f>
        <v>216</v>
      </c>
      <c r="V6" s="19" t="n">
        <f aca="false">V$50+ROW()</f>
        <v>226</v>
      </c>
      <c r="W6" s="19" t="n">
        <f aca="false">W$50+ROW()</f>
        <v>236</v>
      </c>
      <c r="X6" s="19" t="n">
        <f aca="false">X$50+ROW()</f>
        <v>246</v>
      </c>
      <c r="Y6" s="19" t="n">
        <f aca="false">Y$50+ROW()</f>
        <v>256</v>
      </c>
      <c r="Z6" s="19" t="n">
        <f aca="false">Z$50+ROW()</f>
        <v>266</v>
      </c>
    </row>
    <row r="7" customFormat="false" ht="15" hidden="false" customHeight="false" outlineLevel="0" collapsed="false">
      <c r="A7" s="14" t="s">
        <v>239</v>
      </c>
      <c r="B7" s="19" t="n">
        <f aca="false">B$50+ROW()</f>
        <v>27</v>
      </c>
      <c r="C7" s="19" t="n">
        <f aca="false">C$50+ROW()</f>
        <v>37</v>
      </c>
      <c r="D7" s="19" t="n">
        <f aca="false">D$50+ROW()</f>
        <v>47</v>
      </c>
      <c r="E7" s="19" t="n">
        <f aca="false">E$50+ROW()</f>
        <v>57</v>
      </c>
      <c r="F7" s="19" t="n">
        <f aca="false">F$50+ROW()</f>
        <v>67</v>
      </c>
      <c r="G7" s="19" t="n">
        <f aca="false">G$50+ROW()</f>
        <v>77</v>
      </c>
      <c r="H7" s="19" t="n">
        <f aca="false">H$50+ROW()</f>
        <v>87</v>
      </c>
      <c r="I7" s="19" t="n">
        <f aca="false">I$50+ROW()</f>
        <v>97</v>
      </c>
      <c r="J7" s="19" t="n">
        <f aca="false">J$50+ROW()</f>
        <v>107</v>
      </c>
      <c r="K7" s="19" t="n">
        <f aca="false">K$50+ROW()</f>
        <v>117</v>
      </c>
      <c r="L7" s="19" t="n">
        <f aca="false">L$50+ROW()</f>
        <v>127</v>
      </c>
      <c r="M7" s="19" t="n">
        <f aca="false">M$50+ROW()</f>
        <v>137</v>
      </c>
      <c r="N7" s="19" t="n">
        <f aca="false">N$50+ROW()</f>
        <v>147</v>
      </c>
      <c r="O7" s="19" t="n">
        <f aca="false">O$50+ROW()</f>
        <v>157</v>
      </c>
      <c r="P7" s="19" t="n">
        <f aca="false">P$50+ROW()</f>
        <v>167</v>
      </c>
      <c r="Q7" s="19" t="n">
        <f aca="false">Q$50+ROW()</f>
        <v>177</v>
      </c>
      <c r="R7" s="19" t="n">
        <f aca="false">R$50+ROW()</f>
        <v>187</v>
      </c>
      <c r="S7" s="19" t="n">
        <f aca="false">S$50+ROW()</f>
        <v>197</v>
      </c>
      <c r="T7" s="19" t="n">
        <f aca="false">T$50+ROW()</f>
        <v>207</v>
      </c>
      <c r="U7" s="19" t="n">
        <f aca="false">U$50+ROW()</f>
        <v>217</v>
      </c>
      <c r="V7" s="19" t="n">
        <f aca="false">V$50+ROW()</f>
        <v>227</v>
      </c>
      <c r="W7" s="19" t="n">
        <f aca="false">W$50+ROW()</f>
        <v>237</v>
      </c>
      <c r="X7" s="19" t="n">
        <f aca="false">X$50+ROW()</f>
        <v>247</v>
      </c>
      <c r="Y7" s="19" t="n">
        <f aca="false">Y$50+ROW()</f>
        <v>257</v>
      </c>
      <c r="Z7" s="19" t="n">
        <f aca="false">Z$50+ROW()</f>
        <v>267</v>
      </c>
    </row>
    <row r="8" customFormat="false" ht="15" hidden="false" customHeight="false" outlineLevel="0" collapsed="false">
      <c r="A8" s="14" t="s">
        <v>240</v>
      </c>
      <c r="B8" s="19" t="n">
        <f aca="false">B$50+ROW()</f>
        <v>28</v>
      </c>
      <c r="C8" s="19" t="n">
        <f aca="false">C$50+ROW()</f>
        <v>38</v>
      </c>
      <c r="D8" s="19" t="n">
        <f aca="false">D$50+ROW()</f>
        <v>48</v>
      </c>
      <c r="E8" s="19" t="n">
        <f aca="false">E$50+ROW()</f>
        <v>58</v>
      </c>
      <c r="F8" s="19" t="n">
        <f aca="false">F$50+ROW()</f>
        <v>68</v>
      </c>
      <c r="G8" s="19" t="n">
        <f aca="false">G$50+ROW()</f>
        <v>78</v>
      </c>
      <c r="H8" s="19" t="n">
        <f aca="false">H$50+ROW()</f>
        <v>88</v>
      </c>
      <c r="I8" s="19" t="n">
        <f aca="false">I$50+ROW()</f>
        <v>98</v>
      </c>
      <c r="J8" s="19" t="n">
        <f aca="false">J$50+ROW()</f>
        <v>108</v>
      </c>
      <c r="K8" s="19" t="n">
        <f aca="false">K$50+ROW()</f>
        <v>118</v>
      </c>
      <c r="L8" s="19" t="n">
        <f aca="false">L$50+ROW()</f>
        <v>128</v>
      </c>
      <c r="M8" s="19" t="n">
        <f aca="false">M$50+ROW()</f>
        <v>138</v>
      </c>
      <c r="N8" s="19" t="n">
        <f aca="false">N$50+ROW()</f>
        <v>148</v>
      </c>
      <c r="O8" s="19" t="n">
        <f aca="false">O$50+ROW()</f>
        <v>158</v>
      </c>
      <c r="P8" s="19" t="n">
        <f aca="false">P$50+ROW()</f>
        <v>168</v>
      </c>
      <c r="Q8" s="19" t="n">
        <f aca="false">Q$50+ROW()</f>
        <v>178</v>
      </c>
      <c r="R8" s="19" t="n">
        <f aca="false">R$50+ROW()</f>
        <v>188</v>
      </c>
      <c r="S8" s="19" t="n">
        <f aca="false">S$50+ROW()</f>
        <v>198</v>
      </c>
      <c r="T8" s="19" t="n">
        <f aca="false">T$50+ROW()</f>
        <v>208</v>
      </c>
      <c r="U8" s="19" t="n">
        <f aca="false">U$50+ROW()</f>
        <v>218</v>
      </c>
      <c r="V8" s="19" t="n">
        <f aca="false">V$50+ROW()</f>
        <v>228</v>
      </c>
      <c r="W8" s="19" t="n">
        <f aca="false">W$50+ROW()</f>
        <v>238</v>
      </c>
      <c r="X8" s="19" t="n">
        <f aca="false">X$50+ROW()</f>
        <v>248</v>
      </c>
      <c r="Y8" s="19" t="n">
        <f aca="false">Y$50+ROW()</f>
        <v>258</v>
      </c>
      <c r="Z8" s="19" t="n">
        <f aca="false">Z$50+ROW()</f>
        <v>268</v>
      </c>
    </row>
    <row r="9" customFormat="false" ht="15" hidden="false" customHeight="false" outlineLevel="0" collapsed="false">
      <c r="A9" s="14" t="s">
        <v>241</v>
      </c>
      <c r="B9" s="19" t="n">
        <f aca="false">B$50+ROW()</f>
        <v>29</v>
      </c>
      <c r="C9" s="19" t="n">
        <f aca="false">C$50+ROW()</f>
        <v>39</v>
      </c>
      <c r="D9" s="19" t="n">
        <f aca="false">D$50+ROW()</f>
        <v>49</v>
      </c>
      <c r="E9" s="19" t="n">
        <f aca="false">E$50+ROW()</f>
        <v>59</v>
      </c>
      <c r="F9" s="19" t="n">
        <f aca="false">F$50+ROW()</f>
        <v>69</v>
      </c>
      <c r="G9" s="19" t="n">
        <f aca="false">G$50+ROW()</f>
        <v>79</v>
      </c>
      <c r="H9" s="19" t="n">
        <f aca="false">H$50+ROW()</f>
        <v>89</v>
      </c>
      <c r="I9" s="19" t="n">
        <f aca="false">I$50+ROW()</f>
        <v>99</v>
      </c>
      <c r="J9" s="19" t="n">
        <f aca="false">J$50+ROW()</f>
        <v>109</v>
      </c>
      <c r="K9" s="19" t="n">
        <f aca="false">K$50+ROW()</f>
        <v>119</v>
      </c>
      <c r="L9" s="19" t="n">
        <f aca="false">L$50+ROW()</f>
        <v>129</v>
      </c>
      <c r="M9" s="19" t="n">
        <f aca="false">M$50+ROW()</f>
        <v>139</v>
      </c>
      <c r="N9" s="19" t="n">
        <f aca="false">N$50+ROW()</f>
        <v>149</v>
      </c>
      <c r="O9" s="19" t="n">
        <f aca="false">O$50+ROW()</f>
        <v>159</v>
      </c>
      <c r="P9" s="19" t="n">
        <f aca="false">P$50+ROW()</f>
        <v>169</v>
      </c>
      <c r="Q9" s="19" t="n">
        <f aca="false">Q$50+ROW()</f>
        <v>179</v>
      </c>
      <c r="R9" s="19" t="n">
        <f aca="false">R$50+ROW()</f>
        <v>189</v>
      </c>
      <c r="S9" s="19" t="n">
        <f aca="false">S$50+ROW()</f>
        <v>199</v>
      </c>
      <c r="T9" s="19" t="n">
        <f aca="false">T$50+ROW()</f>
        <v>209</v>
      </c>
      <c r="U9" s="19" t="n">
        <f aca="false">U$50+ROW()</f>
        <v>219</v>
      </c>
      <c r="V9" s="19" t="n">
        <f aca="false">V$50+ROW()</f>
        <v>229</v>
      </c>
      <c r="W9" s="19" t="n">
        <f aca="false">W$50+ROW()</f>
        <v>239</v>
      </c>
      <c r="X9" s="19" t="n">
        <f aca="false">X$50+ROW()</f>
        <v>249</v>
      </c>
      <c r="Y9" s="19" t="n">
        <f aca="false">Y$50+ROW()</f>
        <v>259</v>
      </c>
      <c r="Z9" s="19" t="n">
        <f aca="false">Z$50+ROW()</f>
        <v>269</v>
      </c>
    </row>
    <row r="10" customFormat="false" ht="15" hidden="false" customHeight="false" outlineLevel="0" collapsed="false">
      <c r="A10" s="14" t="s">
        <v>242</v>
      </c>
      <c r="B10" s="19" t="n">
        <f aca="false">B$50+ROW()</f>
        <v>30</v>
      </c>
      <c r="C10" s="19" t="n">
        <f aca="false">C$50+ROW()</f>
        <v>40</v>
      </c>
      <c r="D10" s="19" t="n">
        <f aca="false">D$50+ROW()</f>
        <v>50</v>
      </c>
      <c r="E10" s="19" t="n">
        <f aca="false">E$50+ROW()</f>
        <v>60</v>
      </c>
      <c r="F10" s="19" t="n">
        <f aca="false">F$50+ROW()</f>
        <v>70</v>
      </c>
      <c r="G10" s="19" t="n">
        <f aca="false">G$50+ROW()</f>
        <v>80</v>
      </c>
      <c r="H10" s="19" t="n">
        <f aca="false">H$50+ROW()</f>
        <v>90</v>
      </c>
      <c r="I10" s="19" t="n">
        <f aca="false">I$50+ROW()</f>
        <v>100</v>
      </c>
      <c r="J10" s="19" t="n">
        <f aca="false">J$50+ROW()</f>
        <v>110</v>
      </c>
      <c r="K10" s="19" t="n">
        <f aca="false">K$50+ROW()</f>
        <v>120</v>
      </c>
      <c r="L10" s="19" t="n">
        <f aca="false">L$50+ROW()</f>
        <v>130</v>
      </c>
      <c r="M10" s="19" t="n">
        <f aca="false">M$50+ROW()</f>
        <v>140</v>
      </c>
      <c r="N10" s="19" t="n">
        <f aca="false">N$50+ROW()</f>
        <v>150</v>
      </c>
      <c r="O10" s="19" t="n">
        <f aca="false">O$50+ROW()</f>
        <v>160</v>
      </c>
      <c r="P10" s="19" t="n">
        <f aca="false">P$50+ROW()</f>
        <v>170</v>
      </c>
      <c r="Q10" s="19" t="n">
        <f aca="false">Q$50+ROW()</f>
        <v>180</v>
      </c>
      <c r="R10" s="19" t="n">
        <f aca="false">R$50+ROW()</f>
        <v>190</v>
      </c>
      <c r="S10" s="19" t="n">
        <f aca="false">S$50+ROW()</f>
        <v>200</v>
      </c>
      <c r="T10" s="19" t="n">
        <f aca="false">T$50+ROW()</f>
        <v>210</v>
      </c>
      <c r="U10" s="19" t="n">
        <f aca="false">U$50+ROW()</f>
        <v>220</v>
      </c>
      <c r="V10" s="19" t="n">
        <f aca="false">V$50+ROW()</f>
        <v>230</v>
      </c>
      <c r="W10" s="19" t="n">
        <f aca="false">W$50+ROW()</f>
        <v>240</v>
      </c>
      <c r="X10" s="19" t="n">
        <f aca="false">X$50+ROW()</f>
        <v>250</v>
      </c>
      <c r="Y10" s="19" t="n">
        <f aca="false">Y$50+ROW()</f>
        <v>260</v>
      </c>
      <c r="Z10" s="19" t="n">
        <f aca="false">Z$50+ROW()</f>
        <v>270</v>
      </c>
    </row>
    <row r="11" customFormat="false" ht="15" hidden="false" customHeight="false" outlineLevel="0" collapsed="false">
      <c r="A11" s="14" t="s">
        <v>243</v>
      </c>
      <c r="B11" s="19" t="n">
        <f aca="false">B$50+ROW()</f>
        <v>31</v>
      </c>
      <c r="C11" s="19" t="n">
        <f aca="false">C$50+ROW()</f>
        <v>41</v>
      </c>
      <c r="D11" s="19" t="n">
        <f aca="false">D$50+ROW()</f>
        <v>51</v>
      </c>
      <c r="E11" s="19" t="n">
        <f aca="false">E$50+ROW()</f>
        <v>61</v>
      </c>
      <c r="F11" s="19" t="n">
        <f aca="false">F$50+ROW()</f>
        <v>71</v>
      </c>
      <c r="G11" s="19" t="n">
        <f aca="false">G$50+ROW()</f>
        <v>81</v>
      </c>
      <c r="H11" s="19" t="n">
        <f aca="false">H$50+ROW()</f>
        <v>91</v>
      </c>
      <c r="I11" s="19" t="n">
        <f aca="false">I$50+ROW()</f>
        <v>101</v>
      </c>
      <c r="J11" s="19" t="n">
        <f aca="false">J$50+ROW()</f>
        <v>111</v>
      </c>
      <c r="K11" s="19" t="n">
        <f aca="false">K$50+ROW()</f>
        <v>121</v>
      </c>
      <c r="L11" s="19" t="n">
        <f aca="false">L$50+ROW()</f>
        <v>131</v>
      </c>
      <c r="M11" s="19" t="n">
        <f aca="false">M$50+ROW()</f>
        <v>141</v>
      </c>
      <c r="N11" s="19" t="n">
        <f aca="false">N$50+ROW()</f>
        <v>151</v>
      </c>
      <c r="O11" s="19" t="n">
        <f aca="false">O$50+ROW()</f>
        <v>161</v>
      </c>
      <c r="P11" s="19" t="n">
        <f aca="false">P$50+ROW()</f>
        <v>171</v>
      </c>
      <c r="Q11" s="19" t="n">
        <f aca="false">Q$50+ROW()</f>
        <v>181</v>
      </c>
      <c r="R11" s="19" t="n">
        <f aca="false">R$50+ROW()</f>
        <v>191</v>
      </c>
      <c r="S11" s="19" t="n">
        <f aca="false">S$50+ROW()</f>
        <v>201</v>
      </c>
      <c r="T11" s="19" t="n">
        <f aca="false">T$50+ROW()</f>
        <v>211</v>
      </c>
      <c r="U11" s="19" t="n">
        <f aca="false">U$50+ROW()</f>
        <v>221</v>
      </c>
      <c r="V11" s="19" t="n">
        <f aca="false">V$50+ROW()</f>
        <v>231</v>
      </c>
      <c r="W11" s="19" t="n">
        <f aca="false">W$50+ROW()</f>
        <v>241</v>
      </c>
      <c r="X11" s="19" t="n">
        <f aca="false">X$50+ROW()</f>
        <v>251</v>
      </c>
      <c r="Y11" s="19" t="n">
        <f aca="false">Y$50+ROW()</f>
        <v>261</v>
      </c>
      <c r="Z11" s="19" t="n">
        <f aca="false">Z$50+ROW()</f>
        <v>271</v>
      </c>
    </row>
    <row r="12" customFormat="false" ht="15" hidden="false" customHeight="false" outlineLevel="0" collapsed="false">
      <c r="A12" s="14" t="s">
        <v>244</v>
      </c>
      <c r="B12" s="19" t="n">
        <f aca="false">B$50+ROW()</f>
        <v>32</v>
      </c>
      <c r="C12" s="19" t="n">
        <f aca="false">C$50+ROW()</f>
        <v>42</v>
      </c>
      <c r="D12" s="19" t="n">
        <f aca="false">D$50+ROW()</f>
        <v>52</v>
      </c>
      <c r="E12" s="19" t="n">
        <f aca="false">E$50+ROW()</f>
        <v>62</v>
      </c>
      <c r="F12" s="19" t="n">
        <f aca="false">F$50+ROW()</f>
        <v>72</v>
      </c>
      <c r="G12" s="19" t="n">
        <f aca="false">G$50+ROW()</f>
        <v>82</v>
      </c>
      <c r="H12" s="20" t="n">
        <v>9999</v>
      </c>
      <c r="I12" s="19" t="n">
        <f aca="false">I$50+ROW()</f>
        <v>102</v>
      </c>
      <c r="J12" s="19" t="n">
        <f aca="false">J$50+ROW()</f>
        <v>112</v>
      </c>
      <c r="K12" s="19" t="n">
        <f aca="false">K$50+ROW()</f>
        <v>122</v>
      </c>
      <c r="L12" s="19" t="n">
        <f aca="false">L$50+ROW()</f>
        <v>132</v>
      </c>
      <c r="M12" s="19" t="n">
        <f aca="false">M$50+ROW()</f>
        <v>142</v>
      </c>
      <c r="N12" s="19" t="n">
        <f aca="false">N$50+ROW()</f>
        <v>152</v>
      </c>
      <c r="O12" s="19" t="n">
        <f aca="false">O$50+ROW()</f>
        <v>162</v>
      </c>
      <c r="P12" s="19" t="n">
        <f aca="false">P$50+ROW()</f>
        <v>172</v>
      </c>
      <c r="Q12" s="19" t="n">
        <f aca="false">Q$50+ROW()</f>
        <v>182</v>
      </c>
      <c r="R12" s="19" t="n">
        <f aca="false">R$50+ROW()</f>
        <v>192</v>
      </c>
      <c r="S12" s="19" t="n">
        <f aca="false">S$50+ROW()</f>
        <v>202</v>
      </c>
      <c r="T12" s="19" t="n">
        <f aca="false">T$50+ROW()</f>
        <v>212</v>
      </c>
      <c r="U12" s="19" t="n">
        <f aca="false">U$50+ROW()</f>
        <v>222</v>
      </c>
      <c r="V12" s="19" t="n">
        <f aca="false">V$50+ROW()</f>
        <v>232</v>
      </c>
      <c r="W12" s="19" t="n">
        <f aca="false">W$50+ROW()</f>
        <v>242</v>
      </c>
      <c r="X12" s="19" t="n">
        <f aca="false">X$50+ROW()</f>
        <v>252</v>
      </c>
      <c r="Y12" s="19" t="n">
        <f aca="false">Y$50+ROW()</f>
        <v>262</v>
      </c>
      <c r="Z12" s="19" t="n">
        <f aca="false">Z$50+ROW()</f>
        <v>272</v>
      </c>
    </row>
    <row r="13" customFormat="false" ht="15" hidden="false" customHeight="false" outlineLevel="0" collapsed="false">
      <c r="A13" s="14" t="s">
        <v>245</v>
      </c>
      <c r="B13" s="19" t="n">
        <f aca="false">B$50+ROW()</f>
        <v>33</v>
      </c>
      <c r="C13" s="19" t="n">
        <f aca="false">C$50+ROW()</f>
        <v>43</v>
      </c>
      <c r="D13" s="19" t="n">
        <f aca="false">D$50+ROW()</f>
        <v>53</v>
      </c>
      <c r="E13" s="19" t="n">
        <f aca="false">E$50+ROW()</f>
        <v>63</v>
      </c>
      <c r="F13" s="19" t="n">
        <f aca="false">F$50+ROW()</f>
        <v>73</v>
      </c>
      <c r="G13" s="19" t="n">
        <f aca="false">G$50+ROW()</f>
        <v>83</v>
      </c>
      <c r="H13" s="19" t="n">
        <f aca="false">H$50+ROW()</f>
        <v>93</v>
      </c>
      <c r="I13" s="19" t="n">
        <f aca="false">I$50+ROW()</f>
        <v>103</v>
      </c>
      <c r="J13" s="19" t="n">
        <f aca="false">J$50+ROW()</f>
        <v>113</v>
      </c>
      <c r="K13" s="19" t="n">
        <f aca="false">K$50+ROW()</f>
        <v>123</v>
      </c>
      <c r="L13" s="19" t="n">
        <f aca="false">L$50+ROW()</f>
        <v>133</v>
      </c>
      <c r="M13" s="19" t="n">
        <f aca="false">M$50+ROW()</f>
        <v>143</v>
      </c>
      <c r="N13" s="19" t="n">
        <f aca="false">N$50+ROW()</f>
        <v>153</v>
      </c>
      <c r="O13" s="19" t="n">
        <f aca="false">O$50+ROW()</f>
        <v>163</v>
      </c>
      <c r="P13" s="19" t="n">
        <f aca="false">P$50+ROW()</f>
        <v>173</v>
      </c>
      <c r="Q13" s="19" t="n">
        <f aca="false">Q$50+ROW()</f>
        <v>183</v>
      </c>
      <c r="R13" s="19" t="n">
        <f aca="false">R$50+ROW()</f>
        <v>193</v>
      </c>
      <c r="S13" s="19" t="n">
        <f aca="false">S$50+ROW()</f>
        <v>203</v>
      </c>
      <c r="T13" s="19" t="n">
        <f aca="false">T$50+ROW()</f>
        <v>213</v>
      </c>
      <c r="U13" s="19" t="n">
        <f aca="false">U$50+ROW()</f>
        <v>223</v>
      </c>
      <c r="V13" s="19" t="n">
        <f aca="false">V$50+ROW()</f>
        <v>233</v>
      </c>
      <c r="W13" s="19" t="n">
        <f aca="false">W$50+ROW()</f>
        <v>243</v>
      </c>
      <c r="X13" s="19" t="n">
        <f aca="false">X$50+ROW()</f>
        <v>253</v>
      </c>
      <c r="Y13" s="19" t="n">
        <f aca="false">Y$50+ROW()</f>
        <v>263</v>
      </c>
      <c r="Z13" s="19" t="n">
        <f aca="false">Z$50+ROW()</f>
        <v>273</v>
      </c>
    </row>
    <row r="14" customFormat="false" ht="15" hidden="false" customHeight="false" outlineLevel="0" collapsed="false">
      <c r="A14" s="14" t="s">
        <v>246</v>
      </c>
      <c r="B14" s="19" t="n">
        <f aca="false">B$50+ROW()</f>
        <v>34</v>
      </c>
      <c r="C14" s="19" t="n">
        <f aca="false">C$50+ROW()</f>
        <v>44</v>
      </c>
      <c r="D14" s="19" t="n">
        <f aca="false">D$50+ROW()</f>
        <v>54</v>
      </c>
      <c r="E14" s="19" t="n">
        <f aca="false">E$50+ROW()</f>
        <v>64</v>
      </c>
      <c r="F14" s="19" t="n">
        <f aca="false">F$50+ROW()</f>
        <v>74</v>
      </c>
      <c r="G14" s="19" t="n">
        <f aca="false">G$50+ROW()</f>
        <v>84</v>
      </c>
      <c r="H14" s="19" t="n">
        <f aca="false">H$50+ROW()</f>
        <v>94</v>
      </c>
      <c r="I14" s="19" t="n">
        <f aca="false">I$50+ROW()</f>
        <v>104</v>
      </c>
      <c r="J14" s="19" t="n">
        <f aca="false">J$50+ROW()</f>
        <v>114</v>
      </c>
      <c r="K14" s="19" t="n">
        <f aca="false">K$50+ROW()</f>
        <v>124</v>
      </c>
      <c r="L14" s="19" t="n">
        <f aca="false">L$50+ROW()</f>
        <v>134</v>
      </c>
      <c r="M14" s="19" t="n">
        <f aca="false">M$50+ROW()</f>
        <v>144</v>
      </c>
      <c r="N14" s="19" t="n">
        <f aca="false">N$50+ROW()</f>
        <v>154</v>
      </c>
      <c r="O14" s="19" t="n">
        <f aca="false">O$50+ROW()</f>
        <v>164</v>
      </c>
      <c r="P14" s="19" t="n">
        <f aca="false">P$50+ROW()</f>
        <v>174</v>
      </c>
      <c r="Q14" s="19" t="n">
        <f aca="false">Q$50+ROW()</f>
        <v>184</v>
      </c>
      <c r="R14" s="19" t="n">
        <f aca="false">R$50+ROW()</f>
        <v>194</v>
      </c>
      <c r="S14" s="19" t="n">
        <f aca="false">S$50+ROW()</f>
        <v>204</v>
      </c>
      <c r="T14" s="19" t="n">
        <f aca="false">T$50+ROW()</f>
        <v>214</v>
      </c>
      <c r="U14" s="19" t="n">
        <f aca="false">U$50+ROW()</f>
        <v>224</v>
      </c>
      <c r="V14" s="19" t="n">
        <f aca="false">V$50+ROW()</f>
        <v>234</v>
      </c>
      <c r="W14" s="19" t="n">
        <f aca="false">W$50+ROW()</f>
        <v>244</v>
      </c>
      <c r="X14" s="19" t="n">
        <f aca="false">X$50+ROW()</f>
        <v>254</v>
      </c>
      <c r="Y14" s="19" t="n">
        <f aca="false">Y$50+ROW()</f>
        <v>264</v>
      </c>
      <c r="Z14" s="19" t="n">
        <f aca="false">Z$50+ROW()</f>
        <v>274</v>
      </c>
    </row>
    <row r="15" customFormat="false" ht="15" hidden="false" customHeight="false" outlineLevel="0" collapsed="false">
      <c r="A15" s="14" t="s">
        <v>247</v>
      </c>
      <c r="B15" s="19" t="n">
        <f aca="false">B$50+ROW()</f>
        <v>35</v>
      </c>
      <c r="C15" s="19" t="n">
        <f aca="false">C$50+ROW()</f>
        <v>45</v>
      </c>
      <c r="D15" s="19" t="n">
        <f aca="false">D$50+ROW()</f>
        <v>55</v>
      </c>
      <c r="E15" s="19" t="n">
        <f aca="false">E$50+ROW()</f>
        <v>65</v>
      </c>
      <c r="F15" s="19" t="n">
        <f aca="false">F$50+ROW()</f>
        <v>75</v>
      </c>
      <c r="G15" s="19" t="n">
        <f aca="false">G$50+ROW()</f>
        <v>85</v>
      </c>
      <c r="H15" s="19" t="n">
        <f aca="false">H$50+ROW()</f>
        <v>95</v>
      </c>
      <c r="I15" s="19" t="n">
        <f aca="false">I$50+ROW()</f>
        <v>105</v>
      </c>
      <c r="J15" s="19" t="n">
        <f aca="false">J$50+ROW()</f>
        <v>115</v>
      </c>
      <c r="K15" s="19" t="n">
        <f aca="false">K$50+ROW()</f>
        <v>125</v>
      </c>
      <c r="L15" s="19" t="n">
        <f aca="false">L$50+ROW()</f>
        <v>135</v>
      </c>
      <c r="M15" s="19" t="n">
        <f aca="false">M$50+ROW()</f>
        <v>145</v>
      </c>
      <c r="N15" s="19" t="n">
        <f aca="false">N$50+ROW()</f>
        <v>155</v>
      </c>
      <c r="O15" s="19" t="n">
        <f aca="false">O$50+ROW()</f>
        <v>165</v>
      </c>
      <c r="P15" s="19" t="n">
        <f aca="false">P$50+ROW()</f>
        <v>175</v>
      </c>
      <c r="Q15" s="19" t="n">
        <f aca="false">Q$50+ROW()</f>
        <v>185</v>
      </c>
      <c r="R15" s="19" t="n">
        <f aca="false">R$50+ROW()</f>
        <v>195</v>
      </c>
      <c r="S15" s="19" t="n">
        <f aca="false">S$50+ROW()</f>
        <v>205</v>
      </c>
      <c r="T15" s="19" t="n">
        <f aca="false">T$50+ROW()</f>
        <v>215</v>
      </c>
      <c r="U15" s="19" t="n">
        <f aca="false">U$50+ROW()</f>
        <v>225</v>
      </c>
      <c r="V15" s="19" t="n">
        <f aca="false">V$50+ROW()</f>
        <v>235</v>
      </c>
      <c r="W15" s="19" t="n">
        <f aca="false">W$50+ROW()</f>
        <v>245</v>
      </c>
      <c r="X15" s="19" t="n">
        <f aca="false">X$50+ROW()</f>
        <v>255</v>
      </c>
      <c r="Y15" s="19" t="n">
        <f aca="false">Y$50+ROW()</f>
        <v>265</v>
      </c>
      <c r="Z15" s="19" t="n">
        <f aca="false">Z$50+ROW()</f>
        <v>275</v>
      </c>
    </row>
    <row r="16" customFormat="false" ht="15" hidden="false" customHeight="false" outlineLevel="0" collapsed="false">
      <c r="A16" s="14" t="s">
        <v>248</v>
      </c>
      <c r="B16" s="19" t="n">
        <f aca="false">B$50+ROW()</f>
        <v>36</v>
      </c>
      <c r="C16" s="19" t="n">
        <f aca="false">C$50+ROW()</f>
        <v>46</v>
      </c>
      <c r="D16" s="19" t="n">
        <f aca="false">D$50+ROW()</f>
        <v>56</v>
      </c>
      <c r="E16" s="19" t="n">
        <f aca="false">E$50+ROW()</f>
        <v>66</v>
      </c>
      <c r="F16" s="19" t="n">
        <f aca="false">F$50+ROW()</f>
        <v>76</v>
      </c>
      <c r="G16" s="19" t="n">
        <f aca="false">G$50+ROW()</f>
        <v>86</v>
      </c>
      <c r="H16" s="19" t="n">
        <f aca="false">H$50+ROW()</f>
        <v>96</v>
      </c>
      <c r="I16" s="19" t="n">
        <f aca="false">I$50+ROW()</f>
        <v>106</v>
      </c>
      <c r="J16" s="19" t="n">
        <f aca="false">J$50+ROW()</f>
        <v>116</v>
      </c>
      <c r="K16" s="19" t="n">
        <f aca="false">K$50+ROW()</f>
        <v>126</v>
      </c>
      <c r="L16" s="19" t="n">
        <f aca="false">L$50+ROW()</f>
        <v>136</v>
      </c>
      <c r="M16" s="19" t="n">
        <f aca="false">M$50+ROW()</f>
        <v>146</v>
      </c>
      <c r="N16" s="19" t="n">
        <f aca="false">N$50+ROW()</f>
        <v>156</v>
      </c>
      <c r="O16" s="19" t="n">
        <f aca="false">O$50+ROW()</f>
        <v>166</v>
      </c>
      <c r="P16" s="19" t="n">
        <f aca="false">P$50+ROW()</f>
        <v>176</v>
      </c>
      <c r="Q16" s="19" t="n">
        <f aca="false">Q$50+ROW()</f>
        <v>186</v>
      </c>
      <c r="R16" s="19" t="n">
        <f aca="false">R$50+ROW()</f>
        <v>196</v>
      </c>
      <c r="S16" s="19" t="n">
        <f aca="false">S$50+ROW()</f>
        <v>206</v>
      </c>
      <c r="T16" s="19" t="n">
        <f aca="false">T$50+ROW()</f>
        <v>216</v>
      </c>
      <c r="U16" s="19" t="n">
        <f aca="false">U$50+ROW()</f>
        <v>226</v>
      </c>
      <c r="V16" s="19" t="n">
        <f aca="false">V$50+ROW()</f>
        <v>236</v>
      </c>
      <c r="W16" s="19" t="n">
        <f aca="false">W$50+ROW()</f>
        <v>246</v>
      </c>
      <c r="X16" s="19" t="n">
        <f aca="false">X$50+ROW()</f>
        <v>256</v>
      </c>
      <c r="Y16" s="19" t="n">
        <f aca="false">Y$50+ROW()</f>
        <v>266</v>
      </c>
      <c r="Z16" s="19" t="n">
        <f aca="false">Z$50+ROW()</f>
        <v>276</v>
      </c>
    </row>
    <row r="17" customFormat="false" ht="15" hidden="false" customHeight="false" outlineLevel="0" collapsed="false">
      <c r="A17" s="14" t="s">
        <v>322</v>
      </c>
      <c r="B17" s="19" t="n">
        <f aca="false">B$50+ROW()</f>
        <v>37</v>
      </c>
      <c r="C17" s="19" t="n">
        <f aca="false">C$50+ROW()</f>
        <v>47</v>
      </c>
      <c r="D17" s="19" t="n">
        <f aca="false">D$50+ROW()</f>
        <v>57</v>
      </c>
      <c r="E17" s="19" t="n">
        <f aca="false">E$50+ROW()</f>
        <v>67</v>
      </c>
      <c r="F17" s="19" t="n">
        <f aca="false">F$50+ROW()</f>
        <v>77</v>
      </c>
      <c r="G17" s="19" t="n">
        <f aca="false">G$50+ROW()</f>
        <v>87</v>
      </c>
      <c r="H17" s="19" t="n">
        <f aca="false">H$50+ROW()</f>
        <v>97</v>
      </c>
      <c r="I17" s="19" t="n">
        <f aca="false">I$50+ROW()</f>
        <v>107</v>
      </c>
      <c r="J17" s="19" t="n">
        <f aca="false">J$50+ROW()</f>
        <v>117</v>
      </c>
      <c r="K17" s="19" t="n">
        <f aca="false">K$50+ROW()</f>
        <v>127</v>
      </c>
      <c r="L17" s="19" t="n">
        <f aca="false">L$50+ROW()</f>
        <v>137</v>
      </c>
      <c r="M17" s="19" t="n">
        <f aca="false">M$50+ROW()</f>
        <v>147</v>
      </c>
      <c r="N17" s="19" t="n">
        <f aca="false">N$50+ROW()</f>
        <v>157</v>
      </c>
      <c r="O17" s="19" t="n">
        <f aca="false">O$50+ROW()</f>
        <v>167</v>
      </c>
      <c r="P17" s="19" t="n">
        <f aca="false">P$50+ROW()</f>
        <v>177</v>
      </c>
      <c r="Q17" s="19" t="n">
        <f aca="false">Q$50+ROW()</f>
        <v>187</v>
      </c>
      <c r="R17" s="19" t="n">
        <f aca="false">R$50+ROW()</f>
        <v>197</v>
      </c>
      <c r="S17" s="19" t="n">
        <f aca="false">S$50+ROW()</f>
        <v>207</v>
      </c>
      <c r="T17" s="19" t="n">
        <f aca="false">T$50+ROW()</f>
        <v>217</v>
      </c>
      <c r="U17" s="19" t="n">
        <f aca="false">U$50+ROW()</f>
        <v>227</v>
      </c>
      <c r="V17" s="19" t="n">
        <f aca="false">V$50+ROW()</f>
        <v>237</v>
      </c>
      <c r="W17" s="19" t="n">
        <f aca="false">W$50+ROW()</f>
        <v>247</v>
      </c>
      <c r="X17" s="19" t="n">
        <f aca="false">X$50+ROW()</f>
        <v>257</v>
      </c>
      <c r="Y17" s="19" t="n">
        <f aca="false">Y$50+ROW()</f>
        <v>267</v>
      </c>
      <c r="Z17" s="19" t="n">
        <f aca="false">Z$50+ROW()</f>
        <v>277</v>
      </c>
    </row>
    <row r="18" customFormat="false" ht="15" hidden="false" customHeight="false" outlineLevel="0" collapsed="false">
      <c r="A18" s="14" t="s">
        <v>323</v>
      </c>
      <c r="B18" s="19" t="n">
        <f aca="false">B$50+ROW()</f>
        <v>38</v>
      </c>
      <c r="C18" s="19" t="n">
        <f aca="false">C$50+ROW()</f>
        <v>48</v>
      </c>
      <c r="D18" s="19" t="n">
        <f aca="false">D$50+ROW()</f>
        <v>58</v>
      </c>
      <c r="E18" s="19" t="n">
        <f aca="false">E$50+ROW()</f>
        <v>68</v>
      </c>
      <c r="F18" s="19" t="n">
        <f aca="false">F$50+ROW()</f>
        <v>78</v>
      </c>
      <c r="G18" s="19" t="n">
        <f aca="false">G$50+ROW()</f>
        <v>88</v>
      </c>
      <c r="H18" s="19" t="n">
        <f aca="false">H$50+ROW()</f>
        <v>98</v>
      </c>
      <c r="I18" s="19" t="n">
        <f aca="false">I$50+ROW()</f>
        <v>108</v>
      </c>
      <c r="J18" s="19" t="n">
        <f aca="false">J$50+ROW()</f>
        <v>118</v>
      </c>
      <c r="K18" s="19" t="n">
        <f aca="false">K$50+ROW()</f>
        <v>128</v>
      </c>
      <c r="L18" s="19" t="n">
        <f aca="false">L$50+ROW()</f>
        <v>138</v>
      </c>
      <c r="M18" s="19" t="n">
        <f aca="false">M$50+ROW()</f>
        <v>148</v>
      </c>
      <c r="N18" s="19" t="n">
        <f aca="false">N$50+ROW()</f>
        <v>158</v>
      </c>
      <c r="O18" s="19" t="n">
        <f aca="false">O$50+ROW()</f>
        <v>168</v>
      </c>
      <c r="P18" s="19" t="n">
        <f aca="false">P$50+ROW()</f>
        <v>178</v>
      </c>
      <c r="Q18" s="20" t="n">
        <f aca="false">Q$50+ROW()+500</f>
        <v>688</v>
      </c>
      <c r="R18" s="19" t="n">
        <f aca="false">R$50+ROW()</f>
        <v>198</v>
      </c>
      <c r="S18" s="19" t="n">
        <f aca="false">S$50+ROW()</f>
        <v>208</v>
      </c>
      <c r="T18" s="19" t="n">
        <f aca="false">T$50+ROW()</f>
        <v>218</v>
      </c>
      <c r="U18" s="19" t="n">
        <f aca="false">U$50+ROW()</f>
        <v>228</v>
      </c>
      <c r="V18" s="19" t="n">
        <f aca="false">V$50+ROW()</f>
        <v>238</v>
      </c>
      <c r="W18" s="19" t="n">
        <f aca="false">W$50+ROW()</f>
        <v>248</v>
      </c>
      <c r="X18" s="19" t="n">
        <f aca="false">X$50+ROW()</f>
        <v>258</v>
      </c>
      <c r="Y18" s="19" t="n">
        <f aca="false">Y$50+ROW()</f>
        <v>268</v>
      </c>
      <c r="Z18" s="19" t="n">
        <f aca="false">Z$50+ROW()</f>
        <v>278</v>
      </c>
    </row>
    <row r="19" customFormat="false" ht="15" hidden="false" customHeight="false" outlineLevel="0" collapsed="false">
      <c r="A19" s="14" t="s">
        <v>324</v>
      </c>
      <c r="B19" s="19" t="n">
        <f aca="false">B$50+ROW()</f>
        <v>39</v>
      </c>
      <c r="C19" s="19" t="n">
        <f aca="false">C$50+ROW()</f>
        <v>49</v>
      </c>
      <c r="D19" s="19" t="n">
        <f aca="false">D$50+ROW()</f>
        <v>59</v>
      </c>
      <c r="E19" s="19" t="n">
        <f aca="false">E$50+ROW()</f>
        <v>69</v>
      </c>
      <c r="F19" s="19" t="n">
        <f aca="false">F$50+ROW()</f>
        <v>79</v>
      </c>
      <c r="G19" s="19" t="n">
        <f aca="false">G$50+ROW()</f>
        <v>89</v>
      </c>
      <c r="H19" s="19" t="n">
        <f aca="false">H$50+ROW()</f>
        <v>99</v>
      </c>
      <c r="I19" s="19" t="n">
        <f aca="false">I$50+ROW()</f>
        <v>109</v>
      </c>
      <c r="J19" s="19" t="n">
        <f aca="false">J$50+ROW()</f>
        <v>119</v>
      </c>
      <c r="K19" s="19" t="n">
        <f aca="false">K$50+ROW()</f>
        <v>129</v>
      </c>
      <c r="L19" s="19" t="n">
        <f aca="false">L$50+ROW()</f>
        <v>139</v>
      </c>
      <c r="M19" s="19" t="n">
        <f aca="false">M$50+ROW()</f>
        <v>149</v>
      </c>
      <c r="N19" s="19" t="n">
        <f aca="false">N$50+ROW()</f>
        <v>159</v>
      </c>
      <c r="O19" s="19" t="n">
        <f aca="false">O$50+ROW()</f>
        <v>169</v>
      </c>
      <c r="P19" s="19" t="n">
        <f aca="false">P$50+ROW()</f>
        <v>179</v>
      </c>
      <c r="Q19" s="19" t="n">
        <f aca="false">Q$50+ROW()</f>
        <v>189</v>
      </c>
      <c r="R19" s="19" t="n">
        <f aca="false">R$50+ROW()</f>
        <v>199</v>
      </c>
      <c r="S19" s="19" t="n">
        <f aca="false">S$50+ROW()</f>
        <v>209</v>
      </c>
      <c r="T19" s="19" t="n">
        <f aca="false">T$50+ROW()</f>
        <v>219</v>
      </c>
      <c r="U19" s="19" t="n">
        <f aca="false">U$50+ROW()</f>
        <v>229</v>
      </c>
      <c r="V19" s="19" t="n">
        <f aca="false">V$50+ROW()</f>
        <v>239</v>
      </c>
      <c r="W19" s="19" t="n">
        <f aca="false">W$50+ROW()</f>
        <v>249</v>
      </c>
      <c r="X19" s="19" t="n">
        <f aca="false">X$50+ROW()</f>
        <v>259</v>
      </c>
      <c r="Y19" s="19" t="n">
        <f aca="false">Y$50+ROW()</f>
        <v>269</v>
      </c>
      <c r="Z19" s="19" t="n">
        <f aca="false">Z$50+ROW()</f>
        <v>279</v>
      </c>
    </row>
    <row r="20" customFormat="false" ht="15" hidden="false" customHeight="false" outlineLevel="0" collapsed="false">
      <c r="A20" s="14" t="s">
        <v>325</v>
      </c>
      <c r="B20" s="19" t="n">
        <f aca="false">B$50+ROW()</f>
        <v>40</v>
      </c>
      <c r="C20" s="19" t="n">
        <f aca="false">C$50+ROW()</f>
        <v>50</v>
      </c>
      <c r="D20" s="19" t="n">
        <f aca="false">D$50+ROW()</f>
        <v>60</v>
      </c>
      <c r="E20" s="19" t="n">
        <f aca="false">E$50+ROW()</f>
        <v>70</v>
      </c>
      <c r="F20" s="19" t="n">
        <f aca="false">F$50+ROW()</f>
        <v>80</v>
      </c>
      <c r="G20" s="19" t="n">
        <f aca="false">G$50+ROW()</f>
        <v>90</v>
      </c>
      <c r="H20" s="19" t="n">
        <f aca="false">H$50+ROW()</f>
        <v>100</v>
      </c>
      <c r="I20" s="19" t="n">
        <f aca="false">I$50+ROW()</f>
        <v>110</v>
      </c>
      <c r="J20" s="19" t="n">
        <f aca="false">J$50+ROW()</f>
        <v>120</v>
      </c>
      <c r="K20" s="19" t="n">
        <f aca="false">K$50+ROW()</f>
        <v>130</v>
      </c>
      <c r="L20" s="19" t="n">
        <f aca="false">L$50+ROW()</f>
        <v>140</v>
      </c>
      <c r="M20" s="19" t="n">
        <f aca="false">M$50+ROW()</f>
        <v>150</v>
      </c>
      <c r="N20" s="19" t="n">
        <f aca="false">N$50+ROW()</f>
        <v>160</v>
      </c>
      <c r="O20" s="19" t="n">
        <f aca="false">O$50+ROW()</f>
        <v>170</v>
      </c>
      <c r="P20" s="19" t="n">
        <f aca="false">P$50+ROW()</f>
        <v>180</v>
      </c>
      <c r="Q20" s="19" t="n">
        <f aca="false">Q$50+ROW()</f>
        <v>190</v>
      </c>
      <c r="R20" s="19" t="n">
        <f aca="false">R$50+ROW()</f>
        <v>200</v>
      </c>
      <c r="S20" s="19" t="n">
        <f aca="false">S$50+ROW()</f>
        <v>210</v>
      </c>
      <c r="T20" s="19" t="n">
        <f aca="false">T$50+ROW()</f>
        <v>220</v>
      </c>
      <c r="U20" s="19" t="n">
        <f aca="false">U$50+ROW()</f>
        <v>230</v>
      </c>
      <c r="V20" s="19" t="n">
        <f aca="false">V$50+ROW()</f>
        <v>240</v>
      </c>
      <c r="W20" s="19" t="n">
        <f aca="false">W$50+ROW()</f>
        <v>250</v>
      </c>
      <c r="X20" s="19" t="n">
        <f aca="false">X$50+ROW()</f>
        <v>260</v>
      </c>
      <c r="Y20" s="19" t="n">
        <f aca="false">Y$50+ROW()</f>
        <v>270</v>
      </c>
      <c r="Z20" s="19" t="n">
        <f aca="false">Z$50+ROW()</f>
        <v>280</v>
      </c>
    </row>
    <row r="21" customFormat="false" ht="15" hidden="false" customHeight="false" outlineLevel="0" collapsed="false">
      <c r="A21" s="14" t="s">
        <v>326</v>
      </c>
      <c r="B21" s="19" t="n">
        <f aca="false">B$50+ROW()</f>
        <v>41</v>
      </c>
      <c r="C21" s="19" t="n">
        <f aca="false">C$50+ROW()</f>
        <v>51</v>
      </c>
      <c r="D21" s="19" t="n">
        <f aca="false">D$50+ROW()</f>
        <v>61</v>
      </c>
      <c r="E21" s="19" t="n">
        <f aca="false">E$50+ROW()</f>
        <v>71</v>
      </c>
      <c r="F21" s="19" t="n">
        <f aca="false">F$50+ROW()</f>
        <v>81</v>
      </c>
      <c r="G21" s="19" t="n">
        <f aca="false">G$50+ROW()</f>
        <v>91</v>
      </c>
      <c r="H21" s="19" t="n">
        <f aca="false">H$50+ROW()</f>
        <v>101</v>
      </c>
      <c r="I21" s="19" t="n">
        <f aca="false">I$50+ROW()</f>
        <v>111</v>
      </c>
      <c r="J21" s="19" t="n">
        <f aca="false">J$50+ROW()</f>
        <v>121</v>
      </c>
      <c r="K21" s="19" t="n">
        <f aca="false">K$50+ROW()</f>
        <v>131</v>
      </c>
      <c r="L21" s="19" t="n">
        <f aca="false">L$50+ROW()</f>
        <v>141</v>
      </c>
      <c r="M21" s="19" t="n">
        <f aca="false">M$50+ROW()</f>
        <v>151</v>
      </c>
      <c r="N21" s="19" t="n">
        <f aca="false">N$50+ROW()</f>
        <v>161</v>
      </c>
      <c r="O21" s="19" t="n">
        <f aca="false">O$50+ROW()</f>
        <v>171</v>
      </c>
      <c r="P21" s="19" t="n">
        <f aca="false">P$50+ROW()</f>
        <v>181</v>
      </c>
      <c r="Q21" s="19" t="n">
        <f aca="false">Q$50+ROW()</f>
        <v>191</v>
      </c>
      <c r="R21" s="19" t="n">
        <f aca="false">R$50+ROW()</f>
        <v>201</v>
      </c>
      <c r="S21" s="19" t="n">
        <f aca="false">S$50+ROW()</f>
        <v>211</v>
      </c>
      <c r="T21" s="19" t="n">
        <f aca="false">T$50+ROW()</f>
        <v>221</v>
      </c>
      <c r="U21" s="19" t="n">
        <f aca="false">U$50+ROW()</f>
        <v>231</v>
      </c>
      <c r="V21" s="19" t="n">
        <f aca="false">V$50+ROW()</f>
        <v>241</v>
      </c>
      <c r="W21" s="19" t="n">
        <f aca="false">W$50+ROW()</f>
        <v>251</v>
      </c>
      <c r="X21" s="19" t="n">
        <f aca="false">X$50+ROW()</f>
        <v>261</v>
      </c>
      <c r="Y21" s="19" t="n">
        <f aca="false">Y$50+ROW()</f>
        <v>271</v>
      </c>
      <c r="Z21" s="19" t="n">
        <f aca="false">Z$50+ROW()</f>
        <v>281</v>
      </c>
    </row>
    <row r="22" customFormat="false" ht="15" hidden="false" customHeight="false" outlineLevel="0" collapsed="false">
      <c r="A22" s="14" t="s">
        <v>327</v>
      </c>
      <c r="B22" s="19" t="n">
        <f aca="false">B$50+ROW()</f>
        <v>42</v>
      </c>
      <c r="C22" s="19" t="n">
        <f aca="false">C$50+ROW()</f>
        <v>52</v>
      </c>
      <c r="D22" s="19" t="n">
        <f aca="false">D$50+ROW()</f>
        <v>62</v>
      </c>
      <c r="E22" s="19" t="n">
        <f aca="false">E$50+ROW()</f>
        <v>72</v>
      </c>
      <c r="F22" s="19" t="n">
        <f aca="false">F$50+ROW()</f>
        <v>82</v>
      </c>
      <c r="G22" s="19" t="n">
        <f aca="false">G$50+ROW()</f>
        <v>92</v>
      </c>
      <c r="H22" s="19" t="n">
        <f aca="false">H$50+ROW()</f>
        <v>102</v>
      </c>
      <c r="I22" s="19" t="n">
        <f aca="false">I$50+ROW()</f>
        <v>112</v>
      </c>
      <c r="J22" s="19" t="n">
        <f aca="false">J$50+ROW()</f>
        <v>122</v>
      </c>
      <c r="K22" s="19" t="n">
        <f aca="false">K$50+ROW()</f>
        <v>132</v>
      </c>
      <c r="L22" s="19" t="n">
        <f aca="false">L$50+ROW()</f>
        <v>142</v>
      </c>
      <c r="M22" s="19" t="n">
        <f aca="false">M$50+ROW()</f>
        <v>152</v>
      </c>
      <c r="N22" s="19" t="n">
        <f aca="false">N$50+ROW()</f>
        <v>162</v>
      </c>
      <c r="O22" s="19" t="n">
        <f aca="false">O$50+ROW()</f>
        <v>172</v>
      </c>
      <c r="P22" s="19" t="n">
        <f aca="false">P$50+ROW()</f>
        <v>182</v>
      </c>
      <c r="Q22" s="19" t="n">
        <f aca="false">Q$50+ROW()</f>
        <v>192</v>
      </c>
      <c r="R22" s="19" t="n">
        <f aca="false">R$50+ROW()</f>
        <v>202</v>
      </c>
      <c r="S22" s="19" t="n">
        <f aca="false">S$50+ROW()</f>
        <v>212</v>
      </c>
      <c r="T22" s="19" t="n">
        <f aca="false">T$50+ROW()</f>
        <v>222</v>
      </c>
      <c r="U22" s="19" t="n">
        <f aca="false">U$50+ROW()</f>
        <v>232</v>
      </c>
      <c r="V22" s="19" t="n">
        <f aca="false">V$50+ROW()</f>
        <v>242</v>
      </c>
      <c r="W22" s="19" t="n">
        <f aca="false">W$50+ROW()</f>
        <v>252</v>
      </c>
      <c r="X22" s="19" t="n">
        <f aca="false">X$50+ROW()</f>
        <v>262</v>
      </c>
      <c r="Y22" s="19" t="n">
        <f aca="false">Y$50+ROW()</f>
        <v>272</v>
      </c>
      <c r="Z22" s="19" t="n">
        <f aca="false">Z$50+ROW()</f>
        <v>282</v>
      </c>
    </row>
    <row r="23" customFormat="false" ht="15" hidden="false" customHeight="false" outlineLevel="0" collapsed="false">
      <c r="A23" s="14" t="s">
        <v>328</v>
      </c>
      <c r="B23" s="19" t="n">
        <f aca="false">B$50+ROW()</f>
        <v>43</v>
      </c>
      <c r="C23" s="19" t="n">
        <f aca="false">C$50+ROW()</f>
        <v>53</v>
      </c>
      <c r="D23" s="19" t="n">
        <f aca="false">D$50+ROW()</f>
        <v>63</v>
      </c>
      <c r="E23" s="19" t="n">
        <f aca="false">E$50+ROW()</f>
        <v>73</v>
      </c>
      <c r="F23" s="19" t="n">
        <f aca="false">F$50+ROW()</f>
        <v>83</v>
      </c>
      <c r="G23" s="19" t="n">
        <f aca="false">G$50+ROW()</f>
        <v>93</v>
      </c>
      <c r="H23" s="19" t="n">
        <f aca="false">H$50+ROW()</f>
        <v>103</v>
      </c>
      <c r="I23" s="19" t="n">
        <f aca="false">I$50+ROW()</f>
        <v>113</v>
      </c>
      <c r="J23" s="19" t="n">
        <f aca="false">J$50+ROW()</f>
        <v>123</v>
      </c>
      <c r="K23" s="19" t="n">
        <f aca="false">K$50+ROW()</f>
        <v>133</v>
      </c>
      <c r="L23" s="19" t="n">
        <f aca="false">L$50+ROW()</f>
        <v>143</v>
      </c>
      <c r="M23" s="19" t="n">
        <f aca="false">M$50+ROW()</f>
        <v>153</v>
      </c>
      <c r="N23" s="19" t="n">
        <f aca="false">N$50+ROW()</f>
        <v>163</v>
      </c>
      <c r="O23" s="19" t="n">
        <f aca="false">O$50+ROW()</f>
        <v>173</v>
      </c>
      <c r="P23" s="19" t="n">
        <f aca="false">P$50+ROW()</f>
        <v>183</v>
      </c>
      <c r="Q23" s="19" t="n">
        <f aca="false">Q$50+ROW()</f>
        <v>193</v>
      </c>
      <c r="R23" s="19" t="n">
        <f aca="false">R$50+ROW()</f>
        <v>203</v>
      </c>
      <c r="S23" s="19" t="n">
        <f aca="false">S$50+ROW()</f>
        <v>213</v>
      </c>
      <c r="T23" s="19" t="n">
        <f aca="false">T$50+ROW()</f>
        <v>223</v>
      </c>
      <c r="U23" s="19" t="n">
        <f aca="false">U$50+ROW()</f>
        <v>233</v>
      </c>
      <c r="V23" s="19" t="n">
        <f aca="false">V$50+ROW()</f>
        <v>243</v>
      </c>
      <c r="W23" s="19" t="n">
        <f aca="false">W$50+ROW()</f>
        <v>253</v>
      </c>
      <c r="X23" s="19" t="n">
        <f aca="false">X$50+ROW()</f>
        <v>263</v>
      </c>
      <c r="Y23" s="19" t="n">
        <f aca="false">Y$50+ROW()</f>
        <v>273</v>
      </c>
      <c r="Z23" s="19" t="n">
        <f aca="false">Z$50+ROW()</f>
        <v>283</v>
      </c>
    </row>
    <row r="24" customFormat="false" ht="15" hidden="false" customHeight="false" outlineLevel="0" collapsed="false">
      <c r="A24" s="14" t="s">
        <v>329</v>
      </c>
      <c r="B24" s="19" t="n">
        <f aca="false">B$50+ROW()</f>
        <v>44</v>
      </c>
      <c r="C24" s="19" t="n">
        <f aca="false">C$50+ROW()</f>
        <v>54</v>
      </c>
      <c r="D24" s="19" t="n">
        <f aca="false">D$50+ROW()</f>
        <v>64</v>
      </c>
      <c r="E24" s="19" t="n">
        <f aca="false">E$50+ROW()</f>
        <v>74</v>
      </c>
      <c r="F24" s="19" t="n">
        <f aca="false">F$50+ROW()</f>
        <v>84</v>
      </c>
      <c r="G24" s="19" t="n">
        <f aca="false">G$50+ROW()</f>
        <v>94</v>
      </c>
      <c r="H24" s="19" t="n">
        <f aca="false">H$50+ROW()</f>
        <v>104</v>
      </c>
      <c r="I24" s="19" t="n">
        <f aca="false">I$50+ROW()</f>
        <v>114</v>
      </c>
      <c r="J24" s="19" t="n">
        <f aca="false">J$50+ROW()</f>
        <v>124</v>
      </c>
      <c r="K24" s="19" t="n">
        <f aca="false">K$50+ROW()</f>
        <v>134</v>
      </c>
      <c r="L24" s="19" t="n">
        <f aca="false">L$50+ROW()</f>
        <v>144</v>
      </c>
      <c r="M24" s="19" t="n">
        <f aca="false">M$50+ROW()</f>
        <v>154</v>
      </c>
      <c r="N24" s="19" t="n">
        <f aca="false">N$50+ROW()</f>
        <v>164</v>
      </c>
      <c r="O24" s="19" t="n">
        <f aca="false">O$50+ROW()</f>
        <v>174</v>
      </c>
      <c r="P24" s="19" t="n">
        <f aca="false">P$50+ROW()</f>
        <v>184</v>
      </c>
      <c r="Q24" s="19" t="n">
        <f aca="false">Q$50+ROW()</f>
        <v>194</v>
      </c>
      <c r="R24" s="19" t="n">
        <f aca="false">R$50+ROW()</f>
        <v>204</v>
      </c>
      <c r="S24" s="19" t="n">
        <f aca="false">S$50+ROW()</f>
        <v>214</v>
      </c>
      <c r="T24" s="19" t="n">
        <f aca="false">T$50+ROW()</f>
        <v>224</v>
      </c>
      <c r="U24" s="19" t="n">
        <f aca="false">U$50+ROW()</f>
        <v>234</v>
      </c>
      <c r="V24" s="19" t="n">
        <f aca="false">V$50+ROW()</f>
        <v>244</v>
      </c>
      <c r="W24" s="19" t="n">
        <f aca="false">W$50+ROW()</f>
        <v>254</v>
      </c>
      <c r="X24" s="19" t="n">
        <f aca="false">X$50+ROW()</f>
        <v>264</v>
      </c>
      <c r="Y24" s="19" t="n">
        <f aca="false">Y$50+ROW()</f>
        <v>274</v>
      </c>
      <c r="Z24" s="19" t="n">
        <f aca="false">Z$50+ROW()</f>
        <v>284</v>
      </c>
    </row>
    <row r="25" customFormat="false" ht="15" hidden="false" customHeight="false" outlineLevel="0" collapsed="false">
      <c r="A25" s="14" t="s">
        <v>330</v>
      </c>
      <c r="B25" s="19" t="n">
        <f aca="false">B$50+ROW()</f>
        <v>45</v>
      </c>
      <c r="C25" s="19" t="n">
        <f aca="false">C$50+ROW()</f>
        <v>55</v>
      </c>
      <c r="D25" s="19" t="n">
        <f aca="false">D$50+ROW()</f>
        <v>65</v>
      </c>
      <c r="E25" s="19" t="n">
        <f aca="false">E$50+ROW()</f>
        <v>75</v>
      </c>
      <c r="F25" s="19" t="n">
        <f aca="false">F$50+ROW()</f>
        <v>85</v>
      </c>
      <c r="G25" s="19" t="n">
        <f aca="false">G$50+ROW()</f>
        <v>95</v>
      </c>
      <c r="H25" s="19" t="n">
        <f aca="false">H$50+ROW()</f>
        <v>105</v>
      </c>
      <c r="I25" s="19" t="n">
        <f aca="false">I$50+ROW()</f>
        <v>115</v>
      </c>
      <c r="J25" s="19" t="n">
        <f aca="false">J$50+ROW()</f>
        <v>125</v>
      </c>
      <c r="K25" s="19" t="n">
        <f aca="false">K$50+ROW()</f>
        <v>135</v>
      </c>
      <c r="L25" s="19" t="n">
        <f aca="false">L$50+ROW()</f>
        <v>145</v>
      </c>
      <c r="M25" s="20" t="n">
        <v>0</v>
      </c>
      <c r="N25" s="19" t="n">
        <f aca="false">N$50+ROW()</f>
        <v>165</v>
      </c>
      <c r="O25" s="19" t="n">
        <f aca="false">O$50+ROW()</f>
        <v>175</v>
      </c>
      <c r="P25" s="19" t="n">
        <f aca="false">P$50+ROW()</f>
        <v>185</v>
      </c>
      <c r="Q25" s="19" t="n">
        <f aca="false">Q$50+ROW()</f>
        <v>195</v>
      </c>
      <c r="R25" s="19" t="n">
        <f aca="false">R$50+ROW()</f>
        <v>205</v>
      </c>
      <c r="S25" s="19" t="n">
        <f aca="false">S$50+ROW()</f>
        <v>215</v>
      </c>
      <c r="T25" s="19" t="n">
        <f aca="false">T$50+ROW()</f>
        <v>225</v>
      </c>
      <c r="U25" s="19" t="n">
        <f aca="false">U$50+ROW()</f>
        <v>235</v>
      </c>
      <c r="V25" s="19" t="n">
        <f aca="false">V$50+ROW()</f>
        <v>245</v>
      </c>
      <c r="W25" s="19" t="n">
        <f aca="false">W$50+ROW()</f>
        <v>255</v>
      </c>
      <c r="X25" s="19" t="n">
        <f aca="false">X$50+ROW()</f>
        <v>265</v>
      </c>
      <c r="Y25" s="19" t="n">
        <f aca="false">Y$50+ROW()</f>
        <v>275</v>
      </c>
      <c r="Z25" s="19" t="n">
        <f aca="false">Z$50+ROW()</f>
        <v>285</v>
      </c>
    </row>
    <row r="26" customFormat="false" ht="15" hidden="false" customHeight="false" outlineLevel="0" collapsed="false">
      <c r="A26" s="14" t="s">
        <v>331</v>
      </c>
      <c r="B26" s="19" t="n">
        <f aca="false">B$50+ROW()</f>
        <v>46</v>
      </c>
      <c r="C26" s="19" t="n">
        <f aca="false">C$50+ROW()</f>
        <v>56</v>
      </c>
      <c r="D26" s="19" t="n">
        <f aca="false">D$50+ROW()</f>
        <v>66</v>
      </c>
      <c r="E26" s="19" t="n">
        <f aca="false">E$50+ROW()</f>
        <v>76</v>
      </c>
      <c r="F26" s="19" t="n">
        <f aca="false">F$50+ROW()</f>
        <v>86</v>
      </c>
      <c r="G26" s="19" t="n">
        <f aca="false">G$50+ROW()</f>
        <v>96</v>
      </c>
      <c r="H26" s="19" t="n">
        <f aca="false">H$50+ROW()</f>
        <v>106</v>
      </c>
      <c r="I26" s="19" t="n">
        <f aca="false">I$50+ROW()</f>
        <v>116</v>
      </c>
      <c r="J26" s="19" t="n">
        <f aca="false">J$50+ROW()</f>
        <v>126</v>
      </c>
      <c r="K26" s="19" t="n">
        <f aca="false">K$50+ROW()</f>
        <v>136</v>
      </c>
      <c r="L26" s="19" t="n">
        <f aca="false">L$50+ROW()</f>
        <v>146</v>
      </c>
      <c r="M26" s="19" t="n">
        <f aca="false">M$50+ROW()</f>
        <v>156</v>
      </c>
      <c r="N26" s="19" t="n">
        <f aca="false">N$50+ROW()</f>
        <v>166</v>
      </c>
      <c r="O26" s="19" t="n">
        <f aca="false">O$50+ROW()</f>
        <v>176</v>
      </c>
      <c r="P26" s="19" t="n">
        <f aca="false">P$50+ROW()</f>
        <v>186</v>
      </c>
      <c r="Q26" s="19" t="n">
        <f aca="false">Q$50+ROW()</f>
        <v>196</v>
      </c>
      <c r="R26" s="19" t="n">
        <f aca="false">R$50+ROW()</f>
        <v>206</v>
      </c>
      <c r="S26" s="19" t="n">
        <f aca="false">S$50+ROW()</f>
        <v>216</v>
      </c>
      <c r="T26" s="19" t="n">
        <f aca="false">T$50+ROW()</f>
        <v>226</v>
      </c>
      <c r="U26" s="19" t="n">
        <f aca="false">U$50+ROW()</f>
        <v>236</v>
      </c>
      <c r="V26" s="19" t="n">
        <f aca="false">V$50+ROW()</f>
        <v>246</v>
      </c>
      <c r="W26" s="19" t="n">
        <f aca="false">W$50+ROW()</f>
        <v>256</v>
      </c>
      <c r="X26" s="19" t="n">
        <f aca="false">X$50+ROW()</f>
        <v>266</v>
      </c>
      <c r="Y26" s="19" t="n">
        <f aca="false">Y$50+ROW()</f>
        <v>276</v>
      </c>
      <c r="Z26" s="19" t="n">
        <f aca="false">Z$50+ROW()</f>
        <v>286</v>
      </c>
    </row>
    <row r="27" customFormat="false" ht="15" hidden="false" customHeight="false" outlineLevel="0" collapsed="false">
      <c r="A27" s="14" t="s">
        <v>332</v>
      </c>
      <c r="B27" s="19" t="n">
        <f aca="false">B$50+ROW()</f>
        <v>47</v>
      </c>
      <c r="C27" s="19" t="n">
        <f aca="false">C$50+ROW()</f>
        <v>57</v>
      </c>
      <c r="D27" s="19" t="n">
        <f aca="false">D$50+ROW()</f>
        <v>67</v>
      </c>
      <c r="E27" s="19" t="n">
        <f aca="false">E$50+ROW()</f>
        <v>77</v>
      </c>
      <c r="F27" s="19" t="n">
        <f aca="false">F$50+ROW()</f>
        <v>87</v>
      </c>
      <c r="G27" s="19" t="n">
        <f aca="false">G$50+ROW()</f>
        <v>97</v>
      </c>
      <c r="H27" s="19" t="n">
        <f aca="false">H$50+ROW()</f>
        <v>107</v>
      </c>
      <c r="I27" s="19" t="n">
        <f aca="false">I$50+ROW()</f>
        <v>117</v>
      </c>
      <c r="J27" s="19" t="n">
        <f aca="false">J$50+ROW()</f>
        <v>127</v>
      </c>
      <c r="K27" s="19" t="n">
        <f aca="false">K$50+ROW()</f>
        <v>137</v>
      </c>
      <c r="L27" s="19" t="n">
        <f aca="false">L$50+ROW()</f>
        <v>147</v>
      </c>
      <c r="M27" s="19" t="n">
        <f aca="false">M$50+ROW()</f>
        <v>157</v>
      </c>
      <c r="N27" s="19" t="n">
        <f aca="false">N$50+ROW()</f>
        <v>167</v>
      </c>
      <c r="O27" s="19" t="n">
        <f aca="false">O$50+ROW()</f>
        <v>177</v>
      </c>
      <c r="P27" s="19" t="n">
        <f aca="false">P$50+ROW()</f>
        <v>187</v>
      </c>
      <c r="Q27" s="19" t="n">
        <f aca="false">Q$50+ROW()</f>
        <v>197</v>
      </c>
      <c r="R27" s="19" t="n">
        <f aca="false">R$50+ROW()</f>
        <v>207</v>
      </c>
      <c r="S27" s="19" t="n">
        <f aca="false">S$50+ROW()</f>
        <v>217</v>
      </c>
      <c r="T27" s="19" t="n">
        <f aca="false">T$50+ROW()</f>
        <v>227</v>
      </c>
      <c r="U27" s="19" t="n">
        <f aca="false">U$50+ROW()</f>
        <v>237</v>
      </c>
      <c r="V27" s="19" t="n">
        <f aca="false">V$50+ROW()</f>
        <v>247</v>
      </c>
      <c r="W27" s="19" t="n">
        <f aca="false">W$50+ROW()</f>
        <v>257</v>
      </c>
      <c r="X27" s="19" t="n">
        <f aca="false">X$50+ROW()</f>
        <v>267</v>
      </c>
      <c r="Y27" s="19" t="n">
        <f aca="false">Y$50+ROW()</f>
        <v>277</v>
      </c>
      <c r="Z27" s="19" t="n">
        <f aca="false">Z$50+ROW()</f>
        <v>287</v>
      </c>
    </row>
    <row r="28" customFormat="false" ht="15" hidden="false" customHeight="false" outlineLevel="0" collapsed="false">
      <c r="A28" s="14" t="s">
        <v>333</v>
      </c>
      <c r="B28" s="19" t="n">
        <f aca="false">B$50+ROW()</f>
        <v>48</v>
      </c>
      <c r="C28" s="19" t="n">
        <f aca="false">C$50+ROW()</f>
        <v>58</v>
      </c>
      <c r="D28" s="19" t="n">
        <f aca="false">D$50+ROW()</f>
        <v>68</v>
      </c>
      <c r="E28" s="19" t="n">
        <f aca="false">E$50+ROW()</f>
        <v>78</v>
      </c>
      <c r="F28" s="19" t="n">
        <f aca="false">F$50+ROW()</f>
        <v>88</v>
      </c>
      <c r="G28" s="19" t="n">
        <f aca="false">G$50+ROW()</f>
        <v>98</v>
      </c>
      <c r="H28" s="19" t="n">
        <f aca="false">H$50+ROW()</f>
        <v>108</v>
      </c>
      <c r="I28" s="19" t="n">
        <f aca="false">I$50+ROW()</f>
        <v>118</v>
      </c>
      <c r="J28" s="19" t="n">
        <f aca="false">J$50+ROW()</f>
        <v>128</v>
      </c>
      <c r="K28" s="19" t="n">
        <f aca="false">K$50+ROW()</f>
        <v>138</v>
      </c>
      <c r="L28" s="19" t="n">
        <f aca="false">L$50+ROW()</f>
        <v>148</v>
      </c>
      <c r="M28" s="19" t="n">
        <f aca="false">M$50+ROW()</f>
        <v>158</v>
      </c>
      <c r="N28" s="19" t="n">
        <f aca="false">N$50+ROW()</f>
        <v>168</v>
      </c>
      <c r="O28" s="19" t="n">
        <f aca="false">O$50+ROW()</f>
        <v>178</v>
      </c>
      <c r="P28" s="19" t="n">
        <f aca="false">P$50+ROW()</f>
        <v>188</v>
      </c>
      <c r="Q28" s="19" t="n">
        <f aca="false">Q$50+ROW()</f>
        <v>198</v>
      </c>
      <c r="R28" s="19" t="n">
        <f aca="false">R$50+ROW()</f>
        <v>208</v>
      </c>
      <c r="S28" s="19" t="n">
        <f aca="false">S$50+ROW()</f>
        <v>218</v>
      </c>
      <c r="T28" s="19" t="n">
        <f aca="false">T$50+ROW()</f>
        <v>228</v>
      </c>
      <c r="U28" s="19" t="n">
        <f aca="false">U$50+ROW()</f>
        <v>238</v>
      </c>
      <c r="V28" s="19" t="n">
        <f aca="false">V$50+ROW()</f>
        <v>248</v>
      </c>
      <c r="W28" s="19" t="n">
        <f aca="false">W$50+ROW()</f>
        <v>258</v>
      </c>
      <c r="X28" s="19" t="n">
        <f aca="false">X$50+ROW()</f>
        <v>268</v>
      </c>
      <c r="Y28" s="19" t="n">
        <f aca="false">Y$50+ROW()</f>
        <v>278</v>
      </c>
      <c r="Z28" s="19" t="n">
        <f aca="false">Z$50+ROW()</f>
        <v>288</v>
      </c>
    </row>
    <row r="29" customFormat="false" ht="15" hidden="false" customHeight="false" outlineLevel="0" collapsed="false">
      <c r="A29" s="14" t="s">
        <v>334</v>
      </c>
      <c r="B29" s="19" t="n">
        <f aca="false">B$50+ROW()</f>
        <v>49</v>
      </c>
      <c r="C29" s="19" t="n">
        <f aca="false">C$50+ROW()</f>
        <v>59</v>
      </c>
      <c r="D29" s="19" t="n">
        <f aca="false">D$50+ROW()</f>
        <v>69</v>
      </c>
      <c r="E29" s="19" t="n">
        <f aca="false">E$50+ROW()</f>
        <v>79</v>
      </c>
      <c r="F29" s="19" t="n">
        <f aca="false">F$50+ROW()</f>
        <v>89</v>
      </c>
      <c r="G29" s="19" t="n">
        <f aca="false">G$50+ROW()</f>
        <v>99</v>
      </c>
      <c r="H29" s="19" t="n">
        <f aca="false">H$50+ROW()</f>
        <v>109</v>
      </c>
      <c r="I29" s="19" t="n">
        <f aca="false">I$50+ROW()</f>
        <v>119</v>
      </c>
      <c r="J29" s="19" t="n">
        <f aca="false">J$50+ROW()</f>
        <v>129</v>
      </c>
      <c r="K29" s="19" t="n">
        <f aca="false">K$50+ROW()</f>
        <v>139</v>
      </c>
      <c r="L29" s="19" t="n">
        <f aca="false">L$50+ROW()</f>
        <v>149</v>
      </c>
      <c r="M29" s="19" t="n">
        <f aca="false">M$50+ROW()</f>
        <v>159</v>
      </c>
      <c r="N29" s="19" t="n">
        <f aca="false">N$50+ROW()</f>
        <v>169</v>
      </c>
      <c r="O29" s="19" t="n">
        <f aca="false">O$50+ROW()</f>
        <v>179</v>
      </c>
      <c r="P29" s="19" t="n">
        <f aca="false">P$50+ROW()</f>
        <v>189</v>
      </c>
      <c r="Q29" s="19" t="n">
        <f aca="false">Q$50+ROW()</f>
        <v>199</v>
      </c>
      <c r="R29" s="19" t="n">
        <f aca="false">R$50+ROW()</f>
        <v>209</v>
      </c>
      <c r="S29" s="19" t="n">
        <f aca="false">S$50+ROW()</f>
        <v>219</v>
      </c>
      <c r="T29" s="19" t="n">
        <f aca="false">T$50+ROW()</f>
        <v>229</v>
      </c>
      <c r="U29" s="19" t="n">
        <f aca="false">U$50+ROW()</f>
        <v>239</v>
      </c>
      <c r="V29" s="19" t="n">
        <f aca="false">V$50+ROW()</f>
        <v>249</v>
      </c>
      <c r="W29" s="19" t="n">
        <f aca="false">W$50+ROW()</f>
        <v>259</v>
      </c>
      <c r="X29" s="19" t="n">
        <f aca="false">X$50+ROW()</f>
        <v>269</v>
      </c>
      <c r="Y29" s="19" t="n">
        <f aca="false">Y$50+ROW()</f>
        <v>279</v>
      </c>
      <c r="Z29" s="19" t="n">
        <f aca="false">Z$50+ROW()</f>
        <v>289</v>
      </c>
    </row>
    <row r="30" customFormat="false" ht="15" hidden="false" customHeight="false" outlineLevel="0" collapsed="false">
      <c r="A30" s="14" t="s">
        <v>335</v>
      </c>
      <c r="B30" s="19" t="n">
        <f aca="false">B$50+ROW()</f>
        <v>50</v>
      </c>
      <c r="C30" s="19" t="n">
        <f aca="false">C$50+ROW()</f>
        <v>60</v>
      </c>
      <c r="D30" s="19" t="n">
        <f aca="false">D$50+ROW()</f>
        <v>70</v>
      </c>
      <c r="E30" s="19" t="n">
        <f aca="false">E$50+ROW()</f>
        <v>80</v>
      </c>
      <c r="F30" s="19" t="n">
        <f aca="false">F$50+ROW()</f>
        <v>90</v>
      </c>
      <c r="G30" s="19" t="n">
        <f aca="false">G$50+ROW()</f>
        <v>100</v>
      </c>
      <c r="H30" s="19" t="n">
        <f aca="false">H$50+ROW()</f>
        <v>110</v>
      </c>
      <c r="I30" s="19" t="n">
        <f aca="false">I$50+ROW()</f>
        <v>120</v>
      </c>
      <c r="J30" s="19" t="n">
        <f aca="false">J$50+ROW()</f>
        <v>130</v>
      </c>
      <c r="K30" s="19" t="n">
        <f aca="false">K$50+ROW()</f>
        <v>140</v>
      </c>
      <c r="L30" s="19" t="n">
        <f aca="false">L$50+ROW()</f>
        <v>150</v>
      </c>
      <c r="M30" s="19" t="n">
        <f aca="false">M$50+ROW()</f>
        <v>160</v>
      </c>
      <c r="N30" s="19" t="n">
        <f aca="false">N$50+ROW()</f>
        <v>170</v>
      </c>
      <c r="O30" s="19" t="n">
        <f aca="false">O$50+ROW()</f>
        <v>180</v>
      </c>
      <c r="P30" s="19" t="n">
        <f aca="false">P$50+ROW()</f>
        <v>190</v>
      </c>
      <c r="Q30" s="19" t="n">
        <f aca="false">Q$50+ROW()</f>
        <v>200</v>
      </c>
      <c r="R30" s="19" t="n">
        <f aca="false">R$50+ROW()</f>
        <v>210</v>
      </c>
      <c r="S30" s="19" t="n">
        <f aca="false">S$50+ROW()</f>
        <v>220</v>
      </c>
      <c r="T30" s="19" t="n">
        <f aca="false">T$50+ROW()</f>
        <v>230</v>
      </c>
      <c r="U30" s="19" t="n">
        <f aca="false">U$50+ROW()</f>
        <v>240</v>
      </c>
      <c r="V30" s="19" t="n">
        <f aca="false">V$50+ROW()</f>
        <v>250</v>
      </c>
      <c r="W30" s="19" t="n">
        <f aca="false">W$50+ROW()</f>
        <v>260</v>
      </c>
      <c r="X30" s="19" t="n">
        <f aca="false">X$50+ROW()</f>
        <v>270</v>
      </c>
      <c r="Y30" s="19" t="n">
        <f aca="false">Y$50+ROW()</f>
        <v>280</v>
      </c>
      <c r="Z30" s="19" t="n">
        <f aca="false">Z$50+ROW()</f>
        <v>290</v>
      </c>
    </row>
    <row r="31" customFormat="false" ht="15" hidden="false" customHeight="false" outlineLevel="0" collapsed="false">
      <c r="A31" s="14" t="s">
        <v>336</v>
      </c>
      <c r="B31" s="19" t="n">
        <f aca="false">B$50+ROW()</f>
        <v>51</v>
      </c>
      <c r="C31" s="19" t="n">
        <f aca="false">C$50+ROW()</f>
        <v>61</v>
      </c>
      <c r="D31" s="19" t="n">
        <f aca="false">D$50+ROW()</f>
        <v>71</v>
      </c>
      <c r="E31" s="19" t="n">
        <f aca="false">E$50+ROW()</f>
        <v>81</v>
      </c>
      <c r="F31" s="19" t="n">
        <f aca="false">F$50+ROW()</f>
        <v>91</v>
      </c>
      <c r="G31" s="19" t="n">
        <f aca="false">G$50+ROW()</f>
        <v>101</v>
      </c>
      <c r="H31" s="19" t="n">
        <f aca="false">H$50+ROW()</f>
        <v>111</v>
      </c>
      <c r="I31" s="19" t="n">
        <f aca="false">I$50+ROW()</f>
        <v>121</v>
      </c>
      <c r="J31" s="19" t="n">
        <f aca="false">J$50+ROW()</f>
        <v>131</v>
      </c>
      <c r="K31" s="19" t="n">
        <f aca="false">K$50+ROW()</f>
        <v>141</v>
      </c>
      <c r="L31" s="19" t="n">
        <f aca="false">L$50+ROW()</f>
        <v>151</v>
      </c>
      <c r="M31" s="19" t="n">
        <f aca="false">M$50+ROW()</f>
        <v>161</v>
      </c>
      <c r="N31" s="19" t="n">
        <f aca="false">N$50+ROW()</f>
        <v>171</v>
      </c>
      <c r="O31" s="19" t="n">
        <f aca="false">O$50+ROW()</f>
        <v>181</v>
      </c>
      <c r="P31" s="19" t="n">
        <f aca="false">P$50+ROW()</f>
        <v>191</v>
      </c>
      <c r="Q31" s="19" t="n">
        <f aca="false">Q$50+ROW()</f>
        <v>201</v>
      </c>
      <c r="R31" s="19" t="n">
        <f aca="false">R$50+ROW()</f>
        <v>211</v>
      </c>
      <c r="S31" s="19" t="n">
        <f aca="false">S$50+ROW()</f>
        <v>221</v>
      </c>
      <c r="T31" s="19" t="n">
        <f aca="false">T$50+ROW()</f>
        <v>231</v>
      </c>
      <c r="U31" s="19" t="n">
        <f aca="false">U$50+ROW()</f>
        <v>241</v>
      </c>
      <c r="V31" s="19" t="n">
        <f aca="false">V$50+ROW()</f>
        <v>251</v>
      </c>
      <c r="W31" s="19" t="n">
        <f aca="false">W$50+ROW()</f>
        <v>261</v>
      </c>
      <c r="X31" s="19" t="n">
        <f aca="false">X$50+ROW()</f>
        <v>271</v>
      </c>
      <c r="Y31" s="19" t="n">
        <f aca="false">Y$50+ROW()</f>
        <v>281</v>
      </c>
      <c r="Z31" s="19" t="n">
        <f aca="false">Z$50+ROW()</f>
        <v>291</v>
      </c>
    </row>
    <row r="32" customFormat="false" ht="15" hidden="false" customHeight="false" outlineLevel="0" collapsed="false">
      <c r="A32" s="14" t="s">
        <v>337</v>
      </c>
      <c r="B32" s="19" t="n">
        <f aca="false">B$50+ROW()</f>
        <v>52</v>
      </c>
      <c r="C32" s="19" t="n">
        <f aca="false">C$50+ROW()</f>
        <v>62</v>
      </c>
      <c r="D32" s="19" t="n">
        <f aca="false">D$50+ROW()</f>
        <v>72</v>
      </c>
      <c r="E32" s="19" t="n">
        <f aca="false">E$50+ROW()</f>
        <v>82</v>
      </c>
      <c r="F32" s="19" t="n">
        <f aca="false">F$50+ROW()</f>
        <v>92</v>
      </c>
      <c r="G32" s="19" t="n">
        <f aca="false">G$50+ROW()</f>
        <v>102</v>
      </c>
      <c r="H32" s="19" t="n">
        <f aca="false">H$50+ROW()</f>
        <v>112</v>
      </c>
      <c r="I32" s="19" t="n">
        <f aca="false">I$50+ROW()</f>
        <v>122</v>
      </c>
      <c r="J32" s="19" t="n">
        <f aca="false">J$50+ROW()</f>
        <v>132</v>
      </c>
      <c r="K32" s="19" t="n">
        <f aca="false">K$50+ROW()</f>
        <v>142</v>
      </c>
      <c r="L32" s="19" t="n">
        <f aca="false">L$50+ROW()</f>
        <v>152</v>
      </c>
      <c r="M32" s="19" t="n">
        <f aca="false">M$50+ROW()</f>
        <v>162</v>
      </c>
      <c r="N32" s="19" t="n">
        <f aca="false">N$50+ROW()</f>
        <v>172</v>
      </c>
      <c r="O32" s="19" t="n">
        <f aca="false">O$50+ROW()</f>
        <v>182</v>
      </c>
      <c r="P32" s="19" t="n">
        <f aca="false">P$50+ROW()</f>
        <v>192</v>
      </c>
      <c r="Q32" s="19" t="n">
        <f aca="false">Q$50+ROW()</f>
        <v>202</v>
      </c>
      <c r="R32" s="19" t="n">
        <f aca="false">R$50+ROW()</f>
        <v>212</v>
      </c>
      <c r="S32" s="19" t="n">
        <f aca="false">S$50+ROW()</f>
        <v>222</v>
      </c>
      <c r="T32" s="19" t="n">
        <f aca="false">T$50+ROW()</f>
        <v>232</v>
      </c>
      <c r="U32" s="19" t="n">
        <f aca="false">U$50+ROW()</f>
        <v>242</v>
      </c>
      <c r="V32" s="19" t="n">
        <f aca="false">V$50+ROW()</f>
        <v>252</v>
      </c>
      <c r="W32" s="19" t="n">
        <f aca="false">W$50+ROW()</f>
        <v>262</v>
      </c>
      <c r="X32" s="19" t="n">
        <f aca="false">X$50+ROW()</f>
        <v>272</v>
      </c>
      <c r="Y32" s="19" t="n">
        <f aca="false">Y$50+ROW()</f>
        <v>282</v>
      </c>
      <c r="Z32" s="19" t="n">
        <f aca="false">Z$50+ROW()</f>
        <v>292</v>
      </c>
    </row>
    <row r="33" customFormat="false" ht="15" hidden="false" customHeight="false" outlineLevel="0" collapsed="false">
      <c r="A33" s="14" t="s">
        <v>338</v>
      </c>
      <c r="B33" s="19" t="n">
        <f aca="false">B$50+ROW()</f>
        <v>53</v>
      </c>
      <c r="C33" s="19" t="n">
        <f aca="false">C$50+ROW()</f>
        <v>63</v>
      </c>
      <c r="D33" s="19" t="n">
        <f aca="false">D$50+ROW()</f>
        <v>73</v>
      </c>
      <c r="E33" s="19" t="n">
        <f aca="false">E$50+ROW()</f>
        <v>83</v>
      </c>
      <c r="F33" s="19" t="n">
        <f aca="false">F$50+ROW()</f>
        <v>93</v>
      </c>
      <c r="G33" s="19" t="n">
        <f aca="false">G$50+ROW()</f>
        <v>103</v>
      </c>
      <c r="H33" s="19" t="n">
        <f aca="false">H$50+ROW()</f>
        <v>113</v>
      </c>
      <c r="I33" s="19" t="n">
        <f aca="false">I$50+ROW()</f>
        <v>123</v>
      </c>
      <c r="J33" s="19" t="n">
        <f aca="false">J$50+ROW()</f>
        <v>133</v>
      </c>
      <c r="K33" s="19" t="n">
        <f aca="false">K$50+ROW()</f>
        <v>143</v>
      </c>
      <c r="L33" s="19" t="n">
        <f aca="false">L$50+ROW()</f>
        <v>153</v>
      </c>
      <c r="M33" s="19" t="n">
        <f aca="false">M$50+ROW()</f>
        <v>163</v>
      </c>
      <c r="N33" s="19" t="n">
        <f aca="false">N$50+ROW()</f>
        <v>173</v>
      </c>
      <c r="O33" s="19" t="n">
        <f aca="false">O$50+ROW()</f>
        <v>183</v>
      </c>
      <c r="P33" s="19" t="n">
        <f aca="false">P$50+ROW()</f>
        <v>193</v>
      </c>
      <c r="Q33" s="19" t="n">
        <f aca="false">Q$50+ROW()</f>
        <v>203</v>
      </c>
      <c r="R33" s="19" t="n">
        <f aca="false">R$50+ROW()</f>
        <v>213</v>
      </c>
      <c r="S33" s="19" t="n">
        <f aca="false">S$50+ROW()</f>
        <v>223</v>
      </c>
      <c r="T33" s="19" t="n">
        <f aca="false">T$50+ROW()</f>
        <v>233</v>
      </c>
      <c r="U33" s="19" t="n">
        <f aca="false">U$50+ROW()</f>
        <v>243</v>
      </c>
      <c r="V33" s="19" t="n">
        <f aca="false">V$50+ROW()</f>
        <v>253</v>
      </c>
      <c r="W33" s="19" t="n">
        <f aca="false">W$50+ROW()</f>
        <v>263</v>
      </c>
      <c r="X33" s="19" t="n">
        <f aca="false">X$50+ROW()</f>
        <v>273</v>
      </c>
      <c r="Y33" s="19" t="n">
        <f aca="false">Y$50+ROW()</f>
        <v>283</v>
      </c>
      <c r="Z33" s="19" t="n">
        <f aca="false">Z$50+ROW()</f>
        <v>293</v>
      </c>
    </row>
    <row r="34" customFormat="false" ht="15" hidden="false" customHeight="false" outlineLevel="0" collapsed="false">
      <c r="A34" s="14" t="s">
        <v>339</v>
      </c>
      <c r="B34" s="19" t="n">
        <f aca="false">B$50+ROW()</f>
        <v>54</v>
      </c>
      <c r="C34" s="19" t="n">
        <f aca="false">C$50+ROW()</f>
        <v>64</v>
      </c>
      <c r="D34" s="19" t="n">
        <f aca="false">D$50+ROW()</f>
        <v>74</v>
      </c>
      <c r="E34" s="19" t="n">
        <f aca="false">E$50+ROW()</f>
        <v>84</v>
      </c>
      <c r="F34" s="19" t="n">
        <f aca="false">F$50+ROW()</f>
        <v>94</v>
      </c>
      <c r="G34" s="19" t="n">
        <f aca="false">G$50+ROW()</f>
        <v>104</v>
      </c>
      <c r="H34" s="19" t="n">
        <f aca="false">H$50+ROW()</f>
        <v>114</v>
      </c>
      <c r="I34" s="19" t="n">
        <f aca="false">I$50+ROW()</f>
        <v>124</v>
      </c>
      <c r="J34" s="19" t="n">
        <f aca="false">J$50+ROW()</f>
        <v>134</v>
      </c>
      <c r="K34" s="19" t="n">
        <f aca="false">K$50+ROW()</f>
        <v>144</v>
      </c>
      <c r="L34" s="19" t="n">
        <f aca="false">L$50+ROW()</f>
        <v>154</v>
      </c>
      <c r="M34" s="19" t="n">
        <f aca="false">M$50+ROW()</f>
        <v>164</v>
      </c>
      <c r="N34" s="19" t="n">
        <f aca="false">N$50+ROW()</f>
        <v>174</v>
      </c>
      <c r="O34" s="19" t="n">
        <f aca="false">O$50+ROW()</f>
        <v>184</v>
      </c>
      <c r="P34" s="19" t="n">
        <f aca="false">P$50+ROW()</f>
        <v>194</v>
      </c>
      <c r="Q34" s="19" t="n">
        <f aca="false">Q$50+ROW()</f>
        <v>204</v>
      </c>
      <c r="R34" s="19" t="n">
        <f aca="false">R$50+ROW()</f>
        <v>214</v>
      </c>
      <c r="S34" s="19" t="n">
        <f aca="false">S$50+ROW()</f>
        <v>224</v>
      </c>
      <c r="T34" s="19" t="n">
        <f aca="false">T$50+ROW()</f>
        <v>234</v>
      </c>
      <c r="U34" s="19" t="n">
        <f aca="false">U$50+ROW()</f>
        <v>244</v>
      </c>
      <c r="V34" s="19" t="n">
        <f aca="false">V$50+ROW()</f>
        <v>254</v>
      </c>
      <c r="W34" s="19" t="n">
        <f aca="false">W$50+ROW()</f>
        <v>264</v>
      </c>
      <c r="X34" s="19" t="n">
        <f aca="false">X$50+ROW()</f>
        <v>274</v>
      </c>
      <c r="Y34" s="19" t="n">
        <f aca="false">Y$50+ROW()</f>
        <v>284</v>
      </c>
      <c r="Z34" s="19" t="n">
        <f aca="false">Z$50+ROW()</f>
        <v>294</v>
      </c>
    </row>
    <row r="35" customFormat="false" ht="15" hidden="false" customHeight="false" outlineLevel="0" collapsed="false">
      <c r="A35" s="14" t="s">
        <v>340</v>
      </c>
      <c r="B35" s="19" t="n">
        <f aca="false">B$50+ROW()</f>
        <v>55</v>
      </c>
      <c r="C35" s="19" t="n">
        <f aca="false">C$50+ROW()</f>
        <v>65</v>
      </c>
      <c r="D35" s="19" t="n">
        <f aca="false">D$50+ROW()</f>
        <v>75</v>
      </c>
      <c r="E35" s="19" t="n">
        <f aca="false">E$50+ROW()</f>
        <v>85</v>
      </c>
      <c r="F35" s="19" t="n">
        <f aca="false">F$50+ROW()</f>
        <v>95</v>
      </c>
      <c r="G35" s="19" t="n">
        <f aca="false">G$50+ROW()</f>
        <v>105</v>
      </c>
      <c r="H35" s="19" t="n">
        <f aca="false">H$50+ROW()</f>
        <v>115</v>
      </c>
      <c r="I35" s="19" t="n">
        <f aca="false">I$50+ROW()</f>
        <v>125</v>
      </c>
      <c r="J35" s="19" t="n">
        <f aca="false">J$50+ROW()</f>
        <v>135</v>
      </c>
      <c r="K35" s="19" t="n">
        <f aca="false">K$50+ROW()</f>
        <v>145</v>
      </c>
      <c r="L35" s="19" t="n">
        <f aca="false">L$50+ROW()</f>
        <v>155</v>
      </c>
      <c r="M35" s="19" t="n">
        <f aca="false">M$50+ROW()</f>
        <v>165</v>
      </c>
      <c r="N35" s="19" t="n">
        <f aca="false">N$50+ROW()</f>
        <v>175</v>
      </c>
      <c r="O35" s="19" t="n">
        <f aca="false">O$50+ROW()</f>
        <v>185</v>
      </c>
      <c r="P35" s="19" t="n">
        <f aca="false">P$50+ROW()</f>
        <v>195</v>
      </c>
      <c r="Q35" s="19" t="n">
        <f aca="false">Q$50+ROW()</f>
        <v>205</v>
      </c>
      <c r="R35" s="19" t="n">
        <f aca="false">R$50+ROW()</f>
        <v>215</v>
      </c>
      <c r="S35" s="19" t="n">
        <f aca="false">S$50+ROW()</f>
        <v>225</v>
      </c>
      <c r="T35" s="19" t="n">
        <f aca="false">T$50+ROW()</f>
        <v>235</v>
      </c>
      <c r="U35" s="19" t="n">
        <f aca="false">U$50+ROW()</f>
        <v>245</v>
      </c>
      <c r="V35" s="19" t="n">
        <f aca="false">V$50+ROW()</f>
        <v>255</v>
      </c>
      <c r="W35" s="19" t="n">
        <f aca="false">W$50+ROW()</f>
        <v>265</v>
      </c>
      <c r="X35" s="19" t="n">
        <f aca="false">X$50+ROW()</f>
        <v>275</v>
      </c>
      <c r="Y35" s="19" t="n">
        <f aca="false">Y$50+ROW()</f>
        <v>285</v>
      </c>
      <c r="Z35" s="19" t="n">
        <f aca="false">Z$50+ROW()</f>
        <v>295</v>
      </c>
    </row>
    <row r="36" customFormat="false" ht="15" hidden="false" customHeight="false" outlineLevel="0" collapsed="false">
      <c r="A36" s="14" t="s">
        <v>341</v>
      </c>
      <c r="B36" s="19" t="n">
        <f aca="false">B$50+ROW()</f>
        <v>56</v>
      </c>
      <c r="C36" s="19" t="n">
        <f aca="false">C$50+ROW()</f>
        <v>66</v>
      </c>
      <c r="D36" s="19" t="n">
        <f aca="false">D$50+ROW()</f>
        <v>76</v>
      </c>
      <c r="E36" s="19" t="n">
        <f aca="false">E$50+ROW()</f>
        <v>86</v>
      </c>
      <c r="F36" s="19" t="n">
        <f aca="false">F$50+ROW()</f>
        <v>96</v>
      </c>
      <c r="G36" s="19" t="n">
        <f aca="false">G$50+ROW()</f>
        <v>106</v>
      </c>
      <c r="H36" s="19" t="n">
        <f aca="false">H$50+ROW()</f>
        <v>116</v>
      </c>
      <c r="I36" s="19" t="n">
        <f aca="false">I$50+ROW()</f>
        <v>126</v>
      </c>
      <c r="J36" s="19" t="n">
        <f aca="false">J$50+ROW()</f>
        <v>136</v>
      </c>
      <c r="K36" s="19" t="n">
        <f aca="false">K$50+ROW()</f>
        <v>146</v>
      </c>
      <c r="L36" s="19" t="n">
        <f aca="false">L$50+ROW()</f>
        <v>156</v>
      </c>
      <c r="M36" s="19" t="n">
        <f aca="false">M$50+ROW()</f>
        <v>166</v>
      </c>
      <c r="N36" s="19" t="n">
        <f aca="false">N$50+ROW()</f>
        <v>176</v>
      </c>
      <c r="O36" s="19" t="n">
        <f aca="false">O$50+ROW()</f>
        <v>186</v>
      </c>
      <c r="P36" s="19" t="n">
        <f aca="false">P$50+ROW()</f>
        <v>196</v>
      </c>
      <c r="Q36" s="19" t="n">
        <f aca="false">Q$50+ROW()</f>
        <v>206</v>
      </c>
      <c r="R36" s="19" t="n">
        <f aca="false">R$50+ROW()</f>
        <v>216</v>
      </c>
      <c r="S36" s="19" t="n">
        <f aca="false">S$50+ROW()</f>
        <v>226</v>
      </c>
      <c r="T36" s="19" t="n">
        <f aca="false">T$50+ROW()</f>
        <v>236</v>
      </c>
      <c r="U36" s="19" t="n">
        <f aca="false">U$50+ROW()</f>
        <v>246</v>
      </c>
      <c r="V36" s="19" t="n">
        <f aca="false">V$50+ROW()</f>
        <v>256</v>
      </c>
      <c r="W36" s="19" t="n">
        <f aca="false">W$50+ROW()</f>
        <v>266</v>
      </c>
      <c r="X36" s="19" t="n">
        <f aca="false">X$50+ROW()</f>
        <v>276</v>
      </c>
      <c r="Y36" s="19" t="n">
        <f aca="false">Y$50+ROW()</f>
        <v>286</v>
      </c>
      <c r="Z36" s="19" t="n">
        <f aca="false">Z$50+ROW()</f>
        <v>296</v>
      </c>
    </row>
    <row r="37" customFormat="false" ht="28.35" hidden="false" customHeight="false" outlineLevel="0" collapsed="false">
      <c r="A37" s="14" t="s">
        <v>342</v>
      </c>
      <c r="B37" s="19" t="n">
        <f aca="false">B$50+ROW()</f>
        <v>57</v>
      </c>
      <c r="C37" s="19" t="n">
        <f aca="false">C$50+ROW()</f>
        <v>67</v>
      </c>
      <c r="D37" s="19" t="n">
        <f aca="false">D$50+ROW()</f>
        <v>77</v>
      </c>
      <c r="E37" s="19" t="n">
        <f aca="false">E$50+ROW()</f>
        <v>87</v>
      </c>
      <c r="F37" s="19" t="n">
        <f aca="false">F$50+ROW()</f>
        <v>97</v>
      </c>
      <c r="G37" s="19" t="n">
        <f aca="false">G$50+ROW()</f>
        <v>107</v>
      </c>
      <c r="H37" s="19" t="n">
        <f aca="false">H$50+ROW()</f>
        <v>117</v>
      </c>
      <c r="I37" s="19" t="n">
        <f aca="false">I$50+ROW()</f>
        <v>127</v>
      </c>
      <c r="J37" s="19" t="n">
        <f aca="false">J$50+ROW()</f>
        <v>137</v>
      </c>
      <c r="K37" s="19" t="n">
        <f aca="false">K$50+ROW()</f>
        <v>147</v>
      </c>
      <c r="L37" s="19" t="n">
        <f aca="false">L$50+ROW()</f>
        <v>157</v>
      </c>
      <c r="M37" s="19" t="n">
        <f aca="false">M$50+ROW()</f>
        <v>167</v>
      </c>
      <c r="N37" s="19" t="n">
        <f aca="false">N$50+ROW()</f>
        <v>177</v>
      </c>
      <c r="O37" s="19" t="n">
        <f aca="false">O$50+ROW()</f>
        <v>187</v>
      </c>
      <c r="P37" s="19" t="n">
        <f aca="false">P$50+ROW()</f>
        <v>197</v>
      </c>
      <c r="Q37" s="19" t="n">
        <f aca="false">Q$50+ROW()</f>
        <v>207</v>
      </c>
      <c r="R37" s="19" t="n">
        <f aca="false">R$50+ROW()</f>
        <v>217</v>
      </c>
      <c r="S37" s="19" t="n">
        <f aca="false">S$50+ROW()</f>
        <v>227</v>
      </c>
      <c r="T37" s="20" t="n">
        <v>-1234</v>
      </c>
      <c r="U37" s="19" t="n">
        <f aca="false">U$50+ROW()</f>
        <v>247</v>
      </c>
      <c r="V37" s="19" t="n">
        <f aca="false">V$50+ROW()</f>
        <v>257</v>
      </c>
      <c r="W37" s="19" t="n">
        <f aca="false">W$50+ROW()</f>
        <v>267</v>
      </c>
      <c r="X37" s="19" t="n">
        <f aca="false">X$50+ROW()</f>
        <v>277</v>
      </c>
      <c r="Y37" s="19" t="n">
        <f aca="false">Y$50+ROW()</f>
        <v>287</v>
      </c>
      <c r="Z37" s="19" t="n">
        <f aca="false">Z$50+ROW()</f>
        <v>297</v>
      </c>
    </row>
    <row r="38" customFormat="false" ht="15" hidden="false" customHeight="false" outlineLevel="0" collapsed="false">
      <c r="A38" s="14" t="s">
        <v>343</v>
      </c>
      <c r="B38" s="19" t="n">
        <f aca="false">B$50+ROW()</f>
        <v>58</v>
      </c>
      <c r="C38" s="19" t="n">
        <f aca="false">C$50+ROW()</f>
        <v>68</v>
      </c>
      <c r="D38" s="19" t="n">
        <f aca="false">D$50+ROW()</f>
        <v>78</v>
      </c>
      <c r="E38" s="19" t="n">
        <f aca="false">E$50+ROW()</f>
        <v>88</v>
      </c>
      <c r="F38" s="19" t="n">
        <f aca="false">F$50+ROW()</f>
        <v>98</v>
      </c>
      <c r="G38" s="19" t="n">
        <f aca="false">G$50+ROW()</f>
        <v>108</v>
      </c>
      <c r="H38" s="19" t="n">
        <f aca="false">H$50+ROW()</f>
        <v>118</v>
      </c>
      <c r="I38" s="19" t="n">
        <f aca="false">I$50+ROW()</f>
        <v>128</v>
      </c>
      <c r="J38" s="19" t="n">
        <f aca="false">J$50+ROW()</f>
        <v>138</v>
      </c>
      <c r="K38" s="19" t="n">
        <f aca="false">K$50+ROW()</f>
        <v>148</v>
      </c>
      <c r="L38" s="19" t="n">
        <f aca="false">L$50+ROW()</f>
        <v>158</v>
      </c>
      <c r="M38" s="19" t="n">
        <f aca="false">M$50+ROW()</f>
        <v>168</v>
      </c>
      <c r="N38" s="19" t="n">
        <f aca="false">N$50+ROW()</f>
        <v>178</v>
      </c>
      <c r="O38" s="19" t="n">
        <f aca="false">O$50+ROW()</f>
        <v>188</v>
      </c>
      <c r="P38" s="19" t="n">
        <f aca="false">P$50+ROW()</f>
        <v>198</v>
      </c>
      <c r="Q38" s="19" t="n">
        <f aca="false">Q$50+ROW()</f>
        <v>208</v>
      </c>
      <c r="R38" s="19" t="n">
        <f aca="false">R$50+ROW()</f>
        <v>218</v>
      </c>
      <c r="S38" s="19" t="n">
        <f aca="false">S$50+ROW()</f>
        <v>228</v>
      </c>
      <c r="T38" s="19" t="n">
        <f aca="false">T$50+ROW()</f>
        <v>238</v>
      </c>
      <c r="U38" s="19" t="n">
        <f aca="false">U$50+ROW()</f>
        <v>248</v>
      </c>
      <c r="V38" s="19" t="n">
        <f aca="false">V$50+ROW()</f>
        <v>258</v>
      </c>
      <c r="W38" s="19" t="n">
        <f aca="false">W$50+ROW()</f>
        <v>268</v>
      </c>
      <c r="X38" s="19" t="n">
        <f aca="false">X$50+ROW()</f>
        <v>278</v>
      </c>
      <c r="Y38" s="19" t="n">
        <f aca="false">Y$50+ROW()</f>
        <v>288</v>
      </c>
      <c r="Z38" s="19" t="n">
        <f aca="false">Z$50+ROW()</f>
        <v>298</v>
      </c>
    </row>
    <row r="39" customFormat="false" ht="15" hidden="false" customHeight="false" outlineLevel="0" collapsed="false">
      <c r="A39" s="14" t="s">
        <v>344</v>
      </c>
      <c r="B39" s="19" t="n">
        <f aca="false">B$50+ROW()</f>
        <v>59</v>
      </c>
      <c r="C39" s="19" t="n">
        <f aca="false">C$50+ROW()</f>
        <v>69</v>
      </c>
      <c r="D39" s="19" t="n">
        <f aca="false">D$50+ROW()</f>
        <v>79</v>
      </c>
      <c r="E39" s="19" t="n">
        <f aca="false">E$50+ROW()</f>
        <v>89</v>
      </c>
      <c r="F39" s="19" t="n">
        <f aca="false">F$50+ROW()</f>
        <v>99</v>
      </c>
      <c r="G39" s="19" t="n">
        <f aca="false">G$50+ROW()</f>
        <v>109</v>
      </c>
      <c r="H39" s="19" t="n">
        <f aca="false">H$50+ROW()</f>
        <v>119</v>
      </c>
      <c r="I39" s="19" t="n">
        <f aca="false">I$50+ROW()</f>
        <v>129</v>
      </c>
      <c r="J39" s="19" t="n">
        <f aca="false">J$50+ROW()</f>
        <v>139</v>
      </c>
      <c r="K39" s="19" t="n">
        <f aca="false">K$50+ROW()</f>
        <v>149</v>
      </c>
      <c r="L39" s="19" t="n">
        <f aca="false">L$50+ROW()</f>
        <v>159</v>
      </c>
      <c r="M39" s="19" t="n">
        <f aca="false">M$50+ROW()</f>
        <v>169</v>
      </c>
      <c r="N39" s="19" t="n">
        <f aca="false">N$50+ROW()</f>
        <v>179</v>
      </c>
      <c r="O39" s="19" t="n">
        <f aca="false">O$50+ROW()</f>
        <v>189</v>
      </c>
      <c r="P39" s="19" t="n">
        <f aca="false">P$50+ROW()</f>
        <v>199</v>
      </c>
      <c r="Q39" s="19" t="n">
        <f aca="false">Q$50+ROW()</f>
        <v>209</v>
      </c>
      <c r="R39" s="19" t="n">
        <f aca="false">R$50+ROW()</f>
        <v>219</v>
      </c>
      <c r="S39" s="19" t="n">
        <f aca="false">S$50+ROW()</f>
        <v>229</v>
      </c>
      <c r="T39" s="19" t="n">
        <f aca="false">T$50+ROW()</f>
        <v>239</v>
      </c>
      <c r="U39" s="19" t="n">
        <f aca="false">U$50+ROW()</f>
        <v>249</v>
      </c>
      <c r="V39" s="19" t="n">
        <f aca="false">V$50+ROW()</f>
        <v>259</v>
      </c>
      <c r="W39" s="19" t="n">
        <f aca="false">W$50+ROW()</f>
        <v>269</v>
      </c>
      <c r="X39" s="19" t="n">
        <f aca="false">X$50+ROW()</f>
        <v>279</v>
      </c>
      <c r="Y39" s="19" t="n">
        <f aca="false">Y$50+ROW()</f>
        <v>289</v>
      </c>
      <c r="Z39" s="19" t="n">
        <f aca="false">Z$50+ROW()</f>
        <v>299</v>
      </c>
    </row>
    <row r="40" customFormat="false" ht="15" hidden="false" customHeight="false" outlineLevel="0" collapsed="false">
      <c r="A40" s="14" t="s">
        <v>345</v>
      </c>
      <c r="B40" s="19" t="n">
        <f aca="false">B$50+ROW()</f>
        <v>60</v>
      </c>
      <c r="C40" s="19" t="n">
        <f aca="false">C$50+ROW()</f>
        <v>70</v>
      </c>
      <c r="D40" s="19" t="n">
        <f aca="false">D$50+ROW()</f>
        <v>80</v>
      </c>
      <c r="E40" s="19" t="n">
        <f aca="false">E$50+ROW()</f>
        <v>90</v>
      </c>
      <c r="F40" s="19" t="n">
        <f aca="false">F$50+ROW()</f>
        <v>100</v>
      </c>
      <c r="G40" s="19" t="n">
        <f aca="false">G$50+ROW()</f>
        <v>110</v>
      </c>
      <c r="H40" s="19" t="n">
        <f aca="false">H$50+ROW()</f>
        <v>120</v>
      </c>
      <c r="I40" s="19" t="n">
        <f aca="false">I$50+ROW()</f>
        <v>130</v>
      </c>
      <c r="J40" s="19" t="n">
        <f aca="false">J$50+ROW()</f>
        <v>140</v>
      </c>
      <c r="K40" s="19" t="n">
        <f aca="false">K$50+ROW()</f>
        <v>150</v>
      </c>
      <c r="L40" s="19" t="n">
        <f aca="false">L$50+ROW()</f>
        <v>160</v>
      </c>
      <c r="M40" s="19" t="n">
        <f aca="false">M$50+ROW()</f>
        <v>170</v>
      </c>
      <c r="N40" s="19" t="n">
        <f aca="false">N$50+ROW()</f>
        <v>180</v>
      </c>
      <c r="O40" s="19" t="n">
        <f aca="false">O$50+ROW()</f>
        <v>190</v>
      </c>
      <c r="P40" s="19" t="n">
        <f aca="false">P$50+ROW()</f>
        <v>200</v>
      </c>
      <c r="Q40" s="19" t="n">
        <f aca="false">Q$50+ROW()</f>
        <v>210</v>
      </c>
      <c r="R40" s="19" t="n">
        <f aca="false">R$50+ROW()</f>
        <v>220</v>
      </c>
      <c r="S40" s="19" t="n">
        <f aca="false">S$50+ROW()</f>
        <v>230</v>
      </c>
      <c r="T40" s="19" t="n">
        <f aca="false">T$50+ROW()</f>
        <v>240</v>
      </c>
      <c r="U40" s="19" t="n">
        <f aca="false">U$50+ROW()</f>
        <v>250</v>
      </c>
      <c r="V40" s="19" t="n">
        <f aca="false">V$50+ROW()</f>
        <v>260</v>
      </c>
      <c r="W40" s="19" t="n">
        <f aca="false">W$50+ROW()</f>
        <v>270</v>
      </c>
      <c r="X40" s="19" t="n">
        <f aca="false">X$50+ROW()</f>
        <v>280</v>
      </c>
      <c r="Y40" s="19" t="n">
        <f aca="false">Y$50+ROW()</f>
        <v>290</v>
      </c>
      <c r="Z40" s="19" t="n">
        <f aca="false">Z$50+ROW()</f>
        <v>300</v>
      </c>
    </row>
    <row r="41" customFormat="false" ht="15" hidden="false" customHeight="false" outlineLevel="0" collapsed="false">
      <c r="A41" s="14" t="s">
        <v>346</v>
      </c>
      <c r="B41" s="19" t="n">
        <f aca="false">B$50+ROW()</f>
        <v>61</v>
      </c>
      <c r="C41" s="19" t="n">
        <f aca="false">C$50+ROW()</f>
        <v>71</v>
      </c>
      <c r="D41" s="19" t="n">
        <f aca="false">D$50+ROW()</f>
        <v>81</v>
      </c>
      <c r="E41" s="19" t="n">
        <f aca="false">E$50+ROW()</f>
        <v>91</v>
      </c>
      <c r="F41" s="19" t="n">
        <f aca="false">F$50+ROW()</f>
        <v>101</v>
      </c>
      <c r="G41" s="19" t="n">
        <f aca="false">G$50+ROW()</f>
        <v>111</v>
      </c>
      <c r="H41" s="19" t="n">
        <f aca="false">H$50+ROW()</f>
        <v>121</v>
      </c>
      <c r="I41" s="19" t="n">
        <f aca="false">I$50+ROW()</f>
        <v>131</v>
      </c>
      <c r="J41" s="19" t="n">
        <f aca="false">J$50+ROW()</f>
        <v>141</v>
      </c>
      <c r="K41" s="19" t="n">
        <f aca="false">K$50+ROW()</f>
        <v>151</v>
      </c>
      <c r="L41" s="19" t="n">
        <f aca="false">L$50+ROW()</f>
        <v>161</v>
      </c>
      <c r="M41" s="19" t="n">
        <f aca="false">M$50+ROW()</f>
        <v>171</v>
      </c>
      <c r="N41" s="19" t="n">
        <f aca="false">N$50+ROW()</f>
        <v>181</v>
      </c>
      <c r="O41" s="19" t="n">
        <f aca="false">O$50+ROW()</f>
        <v>191</v>
      </c>
      <c r="P41" s="19" t="n">
        <f aca="false">P$50+ROW()</f>
        <v>201</v>
      </c>
      <c r="Q41" s="19" t="n">
        <f aca="false">Q$50+ROW()</f>
        <v>211</v>
      </c>
      <c r="R41" s="19" t="n">
        <f aca="false">R$50+ROW()</f>
        <v>221</v>
      </c>
      <c r="S41" s="19" t="n">
        <f aca="false">S$50+ROW()</f>
        <v>231</v>
      </c>
      <c r="T41" s="19" t="n">
        <f aca="false">T$50+ROW()</f>
        <v>241</v>
      </c>
      <c r="U41" s="19" t="n">
        <f aca="false">U$50+ROW()</f>
        <v>251</v>
      </c>
      <c r="V41" s="19" t="n">
        <f aca="false">V$50+ROW()</f>
        <v>261</v>
      </c>
      <c r="W41" s="19" t="n">
        <f aca="false">W$50+ROW()</f>
        <v>271</v>
      </c>
      <c r="X41" s="19" t="n">
        <f aca="false">X$50+ROW()</f>
        <v>281</v>
      </c>
      <c r="Y41" s="19" t="n">
        <f aca="false">Y$50+ROW()</f>
        <v>291</v>
      </c>
      <c r="Z41" s="19" t="n">
        <f aca="false">Z$50+ROW()</f>
        <v>301</v>
      </c>
    </row>
    <row r="42" customFormat="false" ht="15" hidden="false" customHeight="false" outlineLevel="0" collapsed="false">
      <c r="A42" s="14" t="s">
        <v>347</v>
      </c>
      <c r="B42" s="19" t="n">
        <f aca="false">B$50+ROW()</f>
        <v>62</v>
      </c>
      <c r="C42" s="19" t="n">
        <f aca="false">C$50+ROW()</f>
        <v>72</v>
      </c>
      <c r="D42" s="19" t="n">
        <f aca="false">D$50+ROW()</f>
        <v>82</v>
      </c>
      <c r="E42" s="19" t="n">
        <f aca="false">E$50+ROW()</f>
        <v>92</v>
      </c>
      <c r="F42" s="19" t="n">
        <f aca="false">F$50+ROW()</f>
        <v>102</v>
      </c>
      <c r="G42" s="19" t="n">
        <f aca="false">G$50+ROW()</f>
        <v>112</v>
      </c>
      <c r="H42" s="19" t="n">
        <f aca="false">H$50+ROW()</f>
        <v>122</v>
      </c>
      <c r="I42" s="19" t="n">
        <f aca="false">I$50+ROW()</f>
        <v>132</v>
      </c>
      <c r="J42" s="19" t="n">
        <f aca="false">J$50+ROW()</f>
        <v>142</v>
      </c>
      <c r="K42" s="19" t="n">
        <f aca="false">K$50+ROW()</f>
        <v>152</v>
      </c>
      <c r="L42" s="19" t="n">
        <f aca="false">L$50+ROW()</f>
        <v>162</v>
      </c>
      <c r="M42" s="19" t="n">
        <f aca="false">M$50+ROW()</f>
        <v>172</v>
      </c>
      <c r="N42" s="19" t="n">
        <f aca="false">N$50+ROW()</f>
        <v>182</v>
      </c>
      <c r="O42" s="19" t="n">
        <f aca="false">O$50+ROW()</f>
        <v>192</v>
      </c>
      <c r="P42" s="19" t="n">
        <f aca="false">P$50+ROW()</f>
        <v>202</v>
      </c>
      <c r="Q42" s="19" t="n">
        <f aca="false">Q$50+ROW()</f>
        <v>212</v>
      </c>
      <c r="R42" s="19" t="n">
        <f aca="false">R$50+ROW()</f>
        <v>222</v>
      </c>
      <c r="S42" s="19" t="n">
        <f aca="false">S$50+ROW()</f>
        <v>232</v>
      </c>
      <c r="T42" s="19" t="n">
        <f aca="false">T$50+ROW()</f>
        <v>242</v>
      </c>
      <c r="U42" s="19" t="n">
        <f aca="false">U$50+ROW()</f>
        <v>252</v>
      </c>
      <c r="V42" s="19" t="n">
        <f aca="false">V$50+ROW()</f>
        <v>262</v>
      </c>
      <c r="W42" s="19" t="n">
        <f aca="false">W$50+ROW()</f>
        <v>272</v>
      </c>
      <c r="X42" s="19" t="n">
        <f aca="false">X$50+ROW()</f>
        <v>282</v>
      </c>
      <c r="Y42" s="19" t="n">
        <f aca="false">Y$50+ROW()</f>
        <v>292</v>
      </c>
      <c r="Z42" s="19" t="n">
        <f aca="false">Z$50+ROW()</f>
        <v>302</v>
      </c>
    </row>
    <row r="43" customFormat="false" ht="15" hidden="false" customHeight="false" outlineLevel="0" collapsed="false">
      <c r="A43" s="14" t="s">
        <v>348</v>
      </c>
      <c r="B43" s="19" t="n">
        <f aca="false">B$50+ROW()</f>
        <v>63</v>
      </c>
      <c r="C43" s="19" t="n">
        <f aca="false">C$50+ROW()</f>
        <v>73</v>
      </c>
      <c r="D43" s="19" t="n">
        <f aca="false">D$50+ROW()</f>
        <v>83</v>
      </c>
      <c r="E43" s="19" t="n">
        <f aca="false">E$50+ROW()</f>
        <v>93</v>
      </c>
      <c r="F43" s="19" t="n">
        <f aca="false">F$50+ROW()</f>
        <v>103</v>
      </c>
      <c r="G43" s="19" t="n">
        <f aca="false">G$50+ROW()</f>
        <v>113</v>
      </c>
      <c r="H43" s="19" t="n">
        <f aca="false">H$50+ROW()</f>
        <v>123</v>
      </c>
      <c r="I43" s="19" t="n">
        <f aca="false">I$50+ROW()</f>
        <v>133</v>
      </c>
      <c r="J43" s="19" t="n">
        <f aca="false">J$50+ROW()</f>
        <v>143</v>
      </c>
      <c r="K43" s="19" t="n">
        <f aca="false">K$50+ROW()</f>
        <v>153</v>
      </c>
      <c r="L43" s="19" t="n">
        <f aca="false">L$50+ROW()</f>
        <v>163</v>
      </c>
      <c r="M43" s="19" t="n">
        <f aca="false">M$50+ROW()</f>
        <v>173</v>
      </c>
      <c r="N43" s="19" t="n">
        <f aca="false">N$50+ROW()</f>
        <v>183</v>
      </c>
      <c r="O43" s="19" t="n">
        <f aca="false">O$50+ROW()</f>
        <v>193</v>
      </c>
      <c r="P43" s="19" t="n">
        <f aca="false">P$50+ROW()</f>
        <v>203</v>
      </c>
      <c r="Q43" s="19" t="n">
        <f aca="false">Q$50+ROW()</f>
        <v>213</v>
      </c>
      <c r="R43" s="19" t="n">
        <f aca="false">R$50+ROW()</f>
        <v>223</v>
      </c>
      <c r="S43" s="19" t="n">
        <f aca="false">S$50+ROW()</f>
        <v>233</v>
      </c>
      <c r="T43" s="19" t="n">
        <f aca="false">T$50+ROW()</f>
        <v>243</v>
      </c>
      <c r="U43" s="19" t="n">
        <f aca="false">U$50+ROW()</f>
        <v>253</v>
      </c>
      <c r="V43" s="19" t="n">
        <f aca="false">V$50+ROW()</f>
        <v>263</v>
      </c>
      <c r="W43" s="19" t="n">
        <f aca="false">W$50+ROW()</f>
        <v>273</v>
      </c>
      <c r="X43" s="19" t="n">
        <f aca="false">X$50+ROW()</f>
        <v>283</v>
      </c>
      <c r="Y43" s="19" t="n">
        <f aca="false">Y$50+ROW()</f>
        <v>293</v>
      </c>
      <c r="Z43" s="19" t="n">
        <f aca="false">Z$50+ROW()</f>
        <v>303</v>
      </c>
    </row>
    <row r="44" customFormat="false" ht="15" hidden="false" customHeight="false" outlineLevel="0" collapsed="false">
      <c r="A44" s="14" t="s">
        <v>349</v>
      </c>
      <c r="B44" s="19" t="n">
        <f aca="false">B$50+ROW()</f>
        <v>64</v>
      </c>
      <c r="C44" s="19" t="n">
        <f aca="false">C$50+ROW()</f>
        <v>74</v>
      </c>
      <c r="D44" s="19" t="n">
        <f aca="false">D$50+ROW()</f>
        <v>84</v>
      </c>
      <c r="E44" s="19" t="n">
        <f aca="false">E$50+ROW()</f>
        <v>94</v>
      </c>
      <c r="F44" s="19" t="n">
        <f aca="false">F$50+ROW()</f>
        <v>104</v>
      </c>
      <c r="G44" s="19" t="n">
        <f aca="false">G$50+ROW()</f>
        <v>114</v>
      </c>
      <c r="H44" s="19" t="n">
        <f aca="false">H$50+ROW()</f>
        <v>124</v>
      </c>
      <c r="I44" s="19" t="n">
        <f aca="false">I$50+ROW()</f>
        <v>134</v>
      </c>
      <c r="J44" s="19" t="n">
        <f aca="false">J$50+ROW()</f>
        <v>144</v>
      </c>
      <c r="K44" s="19" t="n">
        <f aca="false">K$50+ROW()</f>
        <v>154</v>
      </c>
      <c r="L44" s="19" t="n">
        <f aca="false">L$50+ROW()</f>
        <v>164</v>
      </c>
      <c r="M44" s="19" t="n">
        <f aca="false">M$50+ROW()</f>
        <v>174</v>
      </c>
      <c r="N44" s="19" t="n">
        <f aca="false">N$50+ROW()</f>
        <v>184</v>
      </c>
      <c r="O44" s="19" t="n">
        <f aca="false">O$50+ROW()</f>
        <v>194</v>
      </c>
      <c r="P44" s="19" t="n">
        <f aca="false">P$50+ROW()</f>
        <v>204</v>
      </c>
      <c r="Q44" s="19" t="n">
        <f aca="false">Q$50+ROW()</f>
        <v>214</v>
      </c>
      <c r="R44" s="19" t="n">
        <f aca="false">R$50+ROW()</f>
        <v>224</v>
      </c>
      <c r="S44" s="19" t="n">
        <f aca="false">S$50+ROW()</f>
        <v>234</v>
      </c>
      <c r="T44" s="19" t="n">
        <f aca="false">T$50+ROW()</f>
        <v>244</v>
      </c>
      <c r="U44" s="19" t="n">
        <f aca="false">U$50+ROW()</f>
        <v>254</v>
      </c>
      <c r="V44" s="19" t="n">
        <f aca="false">V$50+ROW()</f>
        <v>264</v>
      </c>
      <c r="W44" s="19" t="n">
        <f aca="false">W$50+ROW()</f>
        <v>274</v>
      </c>
      <c r="X44" s="19" t="n">
        <f aca="false">X$50+ROW()</f>
        <v>284</v>
      </c>
      <c r="Y44" s="19" t="n">
        <f aca="false">Y$50+ROW()</f>
        <v>294</v>
      </c>
      <c r="Z44" s="19" t="n">
        <f aca="false">Z$50+ROW()</f>
        <v>304</v>
      </c>
    </row>
    <row r="50" customFormat="false" ht="15" hidden="false" customHeight="false" outlineLevel="0" collapsed="false">
      <c r="A50" s="14" t="s">
        <v>350</v>
      </c>
      <c r="B50" s="15" t="n">
        <v>20</v>
      </c>
      <c r="C50" s="15" t="n">
        <v>30</v>
      </c>
      <c r="D50" s="15" t="n">
        <v>40</v>
      </c>
      <c r="E50" s="15" t="n">
        <v>50</v>
      </c>
      <c r="F50" s="15" t="n">
        <v>60</v>
      </c>
      <c r="G50" s="15" t="n">
        <v>70</v>
      </c>
      <c r="H50" s="15" t="n">
        <v>80</v>
      </c>
      <c r="I50" s="15" t="n">
        <v>90</v>
      </c>
      <c r="J50" s="15" t="n">
        <v>100</v>
      </c>
      <c r="K50" s="15" t="n">
        <v>110</v>
      </c>
      <c r="L50" s="15" t="n">
        <v>120</v>
      </c>
      <c r="M50" s="15" t="n">
        <v>130</v>
      </c>
      <c r="N50" s="15" t="n">
        <v>140</v>
      </c>
      <c r="O50" s="15" t="n">
        <v>150</v>
      </c>
      <c r="P50" s="15" t="n">
        <v>160</v>
      </c>
      <c r="Q50" s="15" t="n">
        <v>170</v>
      </c>
      <c r="R50" s="15" t="n">
        <v>180</v>
      </c>
      <c r="S50" s="15" t="n">
        <v>190</v>
      </c>
      <c r="T50" s="15" t="n">
        <v>200</v>
      </c>
      <c r="U50" s="15" t="n">
        <v>210</v>
      </c>
      <c r="V50" s="15" t="n">
        <v>220</v>
      </c>
      <c r="W50" s="15" t="n">
        <v>230</v>
      </c>
      <c r="X50" s="15" t="n">
        <v>240</v>
      </c>
      <c r="Y50" s="15" t="n">
        <v>250</v>
      </c>
      <c r="Z50" s="15" t="n">
        <v>260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2026-10-14T02:42:23Z</dcterms:created>
  <dc:creator>openpyxl</dc:creator>
  <dc:description/>
  <dc:language>en-US</dc:language>
  <cp:lastModifiedBy/>
  <dcterms:modified xsi:type="dcterms:W3CDTF">2026-10-14T02:42:23Z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